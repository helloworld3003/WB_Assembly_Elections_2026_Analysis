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ion Results" sheetId="1" r:id="rId1"/>
    <sheet name="Summary Dashboard" sheetId="2" r:id="rId2"/>
  </sheets>
  <calcPr calcId="124519" fullCalcOnLoad="1"/>
</workbook>
</file>

<file path=xl/sharedStrings.xml><?xml version="1.0" encoding="utf-8"?>
<sst xmlns="http://schemas.openxmlformats.org/spreadsheetml/2006/main" count="2983" uniqueCount="1201">
  <si>
    <t>Constituency Name</t>
  </si>
  <si>
    <t>Total Rounds</t>
  </si>
  <si>
    <t>Rounds Done</t>
  </si>
  <si>
    <t>Rank 1 Candidate</t>
  </si>
  <si>
    <t>Rank 1 Party</t>
  </si>
  <si>
    <t>Rank 1 Votes</t>
  </si>
  <si>
    <t>Rank 1 Status</t>
  </si>
  <si>
    <t>Margin</t>
  </si>
  <si>
    <t>Rank 2 Candidate</t>
  </si>
  <si>
    <t>Rank 2 Party</t>
  </si>
  <si>
    <t>Rank 2 Votes</t>
  </si>
  <si>
    <t>Rank 2 Status</t>
  </si>
  <si>
    <t>Rank 3 Candidate</t>
  </si>
  <si>
    <t>Rank 3 Party</t>
  </si>
  <si>
    <t>Rank 3 Votes</t>
  </si>
  <si>
    <t>Rank 3 Status</t>
  </si>
  <si>
    <t>1 - MEKLIGANJ (West Bengal)</t>
  </si>
  <si>
    <t>2 - MATHABHANGA (West Bengal)</t>
  </si>
  <si>
    <t>3 - COOCHBEHAR UTTAR (West Bengal)</t>
  </si>
  <si>
    <t>4 - COOCHBEHAR DAKSHIN (West Bengal)</t>
  </si>
  <si>
    <t>5 - SITALKUCHI (West Bengal)</t>
  </si>
  <si>
    <t>6 - SITAI (West Bengal)</t>
  </si>
  <si>
    <t>7 - DINHATA (West Bengal)</t>
  </si>
  <si>
    <t>8 - NATABARI (West Bengal)</t>
  </si>
  <si>
    <t>9 - TUFANGANJ (West Bengal)</t>
  </si>
  <si>
    <t>10 - KUMARGRAM (West Bengal)</t>
  </si>
  <si>
    <t>11 - KALCHINI (West Bengal)</t>
  </si>
  <si>
    <t>12 - ALIPURDUARS (West Bengal)</t>
  </si>
  <si>
    <t>13 - FALAKATA (West Bengal)</t>
  </si>
  <si>
    <t>14 - MADARIHAT (West Bengal)</t>
  </si>
  <si>
    <t>15 - DHUPGURI (West Bengal)</t>
  </si>
  <si>
    <t>16 - MAYNAGURI (West Bengal)</t>
  </si>
  <si>
    <t>17 - JALPAIGURI (West Bengal)</t>
  </si>
  <si>
    <t>18 - RAJGANJ (West Bengal)</t>
  </si>
  <si>
    <t>19 - DABGRAM-FULBARI (West Bengal)</t>
  </si>
  <si>
    <t>20 - MAL (West Bengal)</t>
  </si>
  <si>
    <t>21 - NAGRAKATA (West Bengal)</t>
  </si>
  <si>
    <t>22 - KALIMPONG (West Bengal)</t>
  </si>
  <si>
    <t>23 - DARJEELING (West Bengal)</t>
  </si>
  <si>
    <t>24 - KURSEONG (West Bengal)</t>
  </si>
  <si>
    <t>25 - MATIGARA-NAXALBARI (West Bengal)</t>
  </si>
  <si>
    <t>26 - SILIGURI (West Bengal)</t>
  </si>
  <si>
    <t>27 - PHANSIDEWA (West Bengal)</t>
  </si>
  <si>
    <t>28 - CHOPRA (West Bengal)</t>
  </si>
  <si>
    <t>29 - ISLAMPUR (West Bengal)</t>
  </si>
  <si>
    <t>30 - GOALPOKHAR (West Bengal)</t>
  </si>
  <si>
    <t>31 - CHAKULIA (West Bengal)</t>
  </si>
  <si>
    <t>32 - KARANDIGHI (West Bengal)</t>
  </si>
  <si>
    <t>33 - HEMTABAD (West Bengal)</t>
  </si>
  <si>
    <t>34 - KALIAGANJ (West Bengal)</t>
  </si>
  <si>
    <t>35 - RAIGANJ (West Bengal)</t>
  </si>
  <si>
    <t>36 - ITAHAR (West Bengal)</t>
  </si>
  <si>
    <t>37 - KUSHMANDI (West Bengal)</t>
  </si>
  <si>
    <t>38 - KUMARGANJ (West Bengal)</t>
  </si>
  <si>
    <t>39 - BALURGHAT (West Bengal)</t>
  </si>
  <si>
    <t>40 - TAPAN (West Bengal)</t>
  </si>
  <si>
    <t>41 - GANGARAMPUR (West Bengal)</t>
  </si>
  <si>
    <t>42 - HARIRAMPUR (West Bengal)</t>
  </si>
  <si>
    <t>43 - HABIBPUR (West Bengal)</t>
  </si>
  <si>
    <t>44 - GAZOLE (West Bengal)</t>
  </si>
  <si>
    <t>45 - CHANCHAL (West Bengal)</t>
  </si>
  <si>
    <t>46 - HARISCHANDRAPUR (West Bengal)</t>
  </si>
  <si>
    <t>47 - MALATIPUR (West Bengal)</t>
  </si>
  <si>
    <t>48 - RATUA (West Bengal)</t>
  </si>
  <si>
    <t>49 - MANIKCHAK (West Bengal)</t>
  </si>
  <si>
    <t>50 - MALDAHA (West Bengal)</t>
  </si>
  <si>
    <t>51 - ENGLISH BAZAR (West Bengal)</t>
  </si>
  <si>
    <t>52 - MOTHABARI (West Bengal)</t>
  </si>
  <si>
    <t>53 - SUJAPUR (West Bengal)</t>
  </si>
  <si>
    <t>54 - BAISNABNAGAR (West Bengal)</t>
  </si>
  <si>
    <t>55 - FARAKKA (West Bengal)</t>
  </si>
  <si>
    <t>56 - SAMSERGANJ (West Bengal)</t>
  </si>
  <si>
    <t>57 - SUTI (West Bengal)</t>
  </si>
  <si>
    <t>58 - JANGIPUR (West Bengal)</t>
  </si>
  <si>
    <t>59 - RAGHUNATHGANJ (West Bengal)</t>
  </si>
  <si>
    <t>60 - SAGARDIGHI (West Bengal)</t>
  </si>
  <si>
    <t>61 - LALGOLA (West Bengal)</t>
  </si>
  <si>
    <t>62 - BHAGAWANGOLA (West Bengal)</t>
  </si>
  <si>
    <t>63 - RANINAGAR (West Bengal)</t>
  </si>
  <si>
    <t>64 - MURSHIDABAD (West Bengal)</t>
  </si>
  <si>
    <t>65 - NABAGRAM (West Bengal)</t>
  </si>
  <si>
    <t>66 - KHARGRAM (West Bengal)</t>
  </si>
  <si>
    <t>67 - BURWAN (West Bengal)</t>
  </si>
  <si>
    <t>68 - KANDI (West Bengal)</t>
  </si>
  <si>
    <t>69 - BHARATPUR (West Bengal)</t>
  </si>
  <si>
    <t>70 - REJINAGAR (West Bengal)</t>
  </si>
  <si>
    <t>71 - BELDANGA (West Bengal)</t>
  </si>
  <si>
    <t>72 - BAHARAMPUR (West Bengal)</t>
  </si>
  <si>
    <t>73 - HARIHARPARA (West Bengal)</t>
  </si>
  <si>
    <t>74 - NOWDA (West Bengal)</t>
  </si>
  <si>
    <t>75 - DOMKAL (West Bengal)</t>
  </si>
  <si>
    <t>76 - JALANGI (West Bengal)</t>
  </si>
  <si>
    <t>77 - KARIMPUR (West Bengal)</t>
  </si>
  <si>
    <t>78 - TEHATTA (West Bengal)</t>
  </si>
  <si>
    <t>79 - PALASHIPARA (West Bengal)</t>
  </si>
  <si>
    <t>80 - KALIGANJ (West Bengal)</t>
  </si>
  <si>
    <t>81 - NAKASHIPARA (West Bengal)</t>
  </si>
  <si>
    <t>82 - CHAPRA (West Bengal)</t>
  </si>
  <si>
    <t>83 - KRISHNANAGAR UTTAR (West Bengal)</t>
  </si>
  <si>
    <t>84 - NABADWIP (West Bengal)</t>
  </si>
  <si>
    <t>85 - KRISHNANAGAR DAKSHIN (West Bengal)</t>
  </si>
  <si>
    <t>86 - SANTIPUR (West Bengal)</t>
  </si>
  <si>
    <t>87 - RANAGHAT UTTAR PASCHIM (West Bengal)</t>
  </si>
  <si>
    <t>88 - KRISHNAGANJ (West Bengal)</t>
  </si>
  <si>
    <t>89 - RANAGHAT UTTAR PURBA (West Bengal)</t>
  </si>
  <si>
    <t>90 - RANAGHAT DAKSHIN (West Bengal)</t>
  </si>
  <si>
    <t>91 - CHAKDAHA (West Bengal)</t>
  </si>
  <si>
    <t>92 - KALYANI (West Bengal)</t>
  </si>
  <si>
    <t>93 - HARINGHATA (West Bengal)</t>
  </si>
  <si>
    <t>94 - BAGDA (West Bengal)</t>
  </si>
  <si>
    <t>95 - BANGAON UTTAR (West Bengal)</t>
  </si>
  <si>
    <t>96 - BANGAON DAKSHIN (West Bengal)</t>
  </si>
  <si>
    <t>97 - GAIGHATA (West Bengal)</t>
  </si>
  <si>
    <t>98 - SWARUPNAGAR (West Bengal)</t>
  </si>
  <si>
    <t>99 - BADURIA (West Bengal)</t>
  </si>
  <si>
    <t>100 - HABRA (West Bengal)</t>
  </si>
  <si>
    <t>101 - ASHOKNAGAR (West Bengal)</t>
  </si>
  <si>
    <t>102 - AMDANGA (West Bengal)</t>
  </si>
  <si>
    <t>103 - BIJPUR (West Bengal)</t>
  </si>
  <si>
    <t>104 - NAIHATI (West Bengal)</t>
  </si>
  <si>
    <t>105 - BHATPARA (West Bengal)</t>
  </si>
  <si>
    <t>106 - JAGATDAL (West Bengal)</t>
  </si>
  <si>
    <t>107 - NOAPARA (West Bengal)</t>
  </si>
  <si>
    <t>108 - BARRACKPUR (West Bengal)</t>
  </si>
  <si>
    <t>109 - KHARDAHA (West Bengal)</t>
  </si>
  <si>
    <t>110 - DUM DUM UTTAR (West Bengal)</t>
  </si>
  <si>
    <t>111 - PANIHATI (West Bengal)</t>
  </si>
  <si>
    <t>112 - KAMARHATI (West Bengal)</t>
  </si>
  <si>
    <t>113 - BARANAGAR (West Bengal)</t>
  </si>
  <si>
    <t>114 - DUM DUM (West Bengal)</t>
  </si>
  <si>
    <t>115 - RAJARHAT NEW TOWN (West Bengal)</t>
  </si>
  <si>
    <t>116 - BIDHANNAGAR (West Bengal)</t>
  </si>
  <si>
    <t>117 - RAJARHAT  GOPALPUR (West Bengal)</t>
  </si>
  <si>
    <t>118 - MADHYAMGRAM (West Bengal)</t>
  </si>
  <si>
    <t>119 - BARASAT (West Bengal)</t>
  </si>
  <si>
    <t>120 - DEGANGA (West Bengal)</t>
  </si>
  <si>
    <t>121 - HAROA (West Bengal)</t>
  </si>
  <si>
    <t>122 - MINAKHAN (West Bengal)</t>
  </si>
  <si>
    <t>123 - SANDESHKHALI (West Bengal)</t>
  </si>
  <si>
    <t>124 - BASIRHAT DAKSHIN (West Bengal)</t>
  </si>
  <si>
    <t>125 - BASIRHAT UTTAR (West Bengal)</t>
  </si>
  <si>
    <t>126 - HINGALGANJ (West Bengal)</t>
  </si>
  <si>
    <t>127 - GOSABA (West Bengal)</t>
  </si>
  <si>
    <t>128 - BASANTI (West Bengal)</t>
  </si>
  <si>
    <t>129 - KULTALI (West Bengal)</t>
  </si>
  <si>
    <t>130 - PATHARPRATIMA (West Bengal)</t>
  </si>
  <si>
    <t>131 - KAKDWIP (West Bengal)</t>
  </si>
  <si>
    <t>132 - SAGAR (West Bengal)</t>
  </si>
  <si>
    <t>133 - KULPI (West Bengal)</t>
  </si>
  <si>
    <t>134 - RAIDIGHI (West Bengal)</t>
  </si>
  <si>
    <t>135 - MANDIRBAZAR (West Bengal)</t>
  </si>
  <si>
    <t>136 - JAYNAGAR (West Bengal)</t>
  </si>
  <si>
    <t>137 - BARUIPUR PURBA (West Bengal)</t>
  </si>
  <si>
    <t>138 - CANNING PASCHIM (West Bengal)</t>
  </si>
  <si>
    <t>139 - CANNING PURBA (West Bengal)</t>
  </si>
  <si>
    <t>140 - BARUIPUR PASCHIM (West Bengal)</t>
  </si>
  <si>
    <t>141 - MAGRAHAT PURBA (West Bengal)</t>
  </si>
  <si>
    <t>142 - MAGRAHAT PASCHIM (West Bengal)</t>
  </si>
  <si>
    <t>143 - DIAMOND HARBOUR (West Bengal)</t>
  </si>
  <si>
    <t>144 - FALTA (West Bengal)</t>
  </si>
  <si>
    <t>145 - SATGACHHIA (West Bengal)</t>
  </si>
  <si>
    <t>146 - BISHNUPUR (West Bengal)</t>
  </si>
  <si>
    <t>147 - SONARPUR DAKSHIN (West Bengal)</t>
  </si>
  <si>
    <t>148 - BHANGAR (West Bengal)</t>
  </si>
  <si>
    <t>149 - KASBA (West Bengal)</t>
  </si>
  <si>
    <t>150 - JADAVPUR (West Bengal)</t>
  </si>
  <si>
    <t>151 - SONARPUR UTTAR (West Bengal)</t>
  </si>
  <si>
    <t>152 - TOLLYGANJ (West Bengal)</t>
  </si>
  <si>
    <t>153 - BEHALA PURBA (West Bengal)</t>
  </si>
  <si>
    <t>154 - BEHALA PASCHIM (West Bengal)</t>
  </si>
  <si>
    <t>155 - MAHESHTALA (West Bengal)</t>
  </si>
  <si>
    <t>156 - BUDGE BUDGE (West Bengal)</t>
  </si>
  <si>
    <t>157 - METIABURUZ (West Bengal)</t>
  </si>
  <si>
    <t>158 - KOLKATA PORT (West Bengal)</t>
  </si>
  <si>
    <t>159 - BHABANIPUR (West Bengal)</t>
  </si>
  <si>
    <t>160 - RASHBEHARI (West Bengal)</t>
  </si>
  <si>
    <t>161 - BALLYGUNGE (West Bengal)</t>
  </si>
  <si>
    <t>162 - CHOWRANGEE (West Bengal)</t>
  </si>
  <si>
    <t>163 - ENTALLY (West Bengal)</t>
  </si>
  <si>
    <t>164 - BELEGHATA (West Bengal)</t>
  </si>
  <si>
    <t>165 - JORASANKO (West Bengal)</t>
  </si>
  <si>
    <t>166 - SHYAMPUKUR (West Bengal)</t>
  </si>
  <si>
    <t>167 - MANIKTALA (West Bengal)</t>
  </si>
  <si>
    <t>168 - KASHIPUR-BELGACHHIA (West Bengal)</t>
  </si>
  <si>
    <t>169 - BALLY (West Bengal)</t>
  </si>
  <si>
    <t>170 - HOWRAH UTTAR (West Bengal)</t>
  </si>
  <si>
    <t>171 - HOWRAH MADHYA (West Bengal)</t>
  </si>
  <si>
    <t>172 - SHIBPUR (West Bengal)</t>
  </si>
  <si>
    <t>173 - HOWRAH DAKSHIN (West Bengal)</t>
  </si>
  <si>
    <t>174 - SANKRAIL (West Bengal)</t>
  </si>
  <si>
    <t>175 - PANCHLA (West Bengal)</t>
  </si>
  <si>
    <t>176 - ULUBERIA PURBA (West Bengal)</t>
  </si>
  <si>
    <t>177 - ULUBERIA UTTAR (West Bengal)</t>
  </si>
  <si>
    <t>178 - ULUBERIA DAKSHIN (West Bengal)</t>
  </si>
  <si>
    <t>179 - SHYAMPUR (West Bengal)</t>
  </si>
  <si>
    <t>180 - BAGNAN (West Bengal)</t>
  </si>
  <si>
    <t>181 - AMTA (West Bengal)</t>
  </si>
  <si>
    <t>182 - UDAYNARAYANPUR (West Bengal)</t>
  </si>
  <si>
    <t>183 - JAGATBALLAVPUR (West Bengal)</t>
  </si>
  <si>
    <t>184 - DOMJUR (West Bengal)</t>
  </si>
  <si>
    <t>185 - UTTARPARA (West Bengal)</t>
  </si>
  <si>
    <t>186 - SREERAMPUR (West Bengal)</t>
  </si>
  <si>
    <t>187 - CHAMPDANI (West Bengal)</t>
  </si>
  <si>
    <t>188 - SINGUR (West Bengal)</t>
  </si>
  <si>
    <t>189 - CHANDANNAGAR (West Bengal)</t>
  </si>
  <si>
    <t>190 - CHUNCHURA (West Bengal)</t>
  </si>
  <si>
    <t>191 - BALAGARH (West Bengal)</t>
  </si>
  <si>
    <t>192 - PANDUA (West Bengal)</t>
  </si>
  <si>
    <t>193 - SAPTAGRAM (West Bengal)</t>
  </si>
  <si>
    <t>194 - CHANDITALA (West Bengal)</t>
  </si>
  <si>
    <t>195 - JANGIPARA (West Bengal)</t>
  </si>
  <si>
    <t>196 - HARIPAL (West Bengal)</t>
  </si>
  <si>
    <t>197 - DHANEKHALI (West Bengal)</t>
  </si>
  <si>
    <t>198 - TARAKESWAR (West Bengal)</t>
  </si>
  <si>
    <t>199 - PURSURAH (West Bengal)</t>
  </si>
  <si>
    <t>200 - ARAMBAG (West Bengal)</t>
  </si>
  <si>
    <t>201 - GOGHAT (West Bengal)</t>
  </si>
  <si>
    <t>202 - KHANAKUL (West Bengal)</t>
  </si>
  <si>
    <t>203 - TAMLUK (West Bengal)</t>
  </si>
  <si>
    <t>204 - PANSKURA PURBA (West Bengal)</t>
  </si>
  <si>
    <t>205 - PANSKURA PASCHIM (West Bengal)</t>
  </si>
  <si>
    <t>206 - MOYNA (West Bengal)</t>
  </si>
  <si>
    <t>207 - NANDAKUMAR (West Bengal)</t>
  </si>
  <si>
    <t>208 - MAHISADAL (West Bengal)</t>
  </si>
  <si>
    <t>209 - HALDIA (West Bengal)</t>
  </si>
  <si>
    <t>210 - NANDIGRAM (West Bengal)</t>
  </si>
  <si>
    <t>211 - CHANDIPUR (West Bengal)</t>
  </si>
  <si>
    <t>212 - PATASHPUR (West Bengal)</t>
  </si>
  <si>
    <t>213 - KANTHI UTTAR (West Bengal)</t>
  </si>
  <si>
    <t>214 - BHAGABANPUR (West Bengal)</t>
  </si>
  <si>
    <t>215 - KHEJURI (West Bengal)</t>
  </si>
  <si>
    <t>216 - KANTHI DAKSHIN (West Bengal)</t>
  </si>
  <si>
    <t>217 - RAMNAGAR (West Bengal)</t>
  </si>
  <si>
    <t>218 - EGRA (West Bengal)</t>
  </si>
  <si>
    <t>219 - DANTAN (West Bengal)</t>
  </si>
  <si>
    <t>220 - NAYAGRAM (West Bengal)</t>
  </si>
  <si>
    <t>221 - GOPIBALLAVPUR (West Bengal)</t>
  </si>
  <si>
    <t>222 - JHARGRAM (West Bengal)</t>
  </si>
  <si>
    <t>223 - KESHIARY (West Bengal)</t>
  </si>
  <si>
    <t>224 - KHARAGPUR SADAR (West Bengal)</t>
  </si>
  <si>
    <t>225 - NARAYANGARH (West Bengal)</t>
  </si>
  <si>
    <t>226 - SABANG (West Bengal)</t>
  </si>
  <si>
    <t>227 - PINGLA (West Bengal)</t>
  </si>
  <si>
    <t>228 - KHARAGPUR (West Bengal)</t>
  </si>
  <si>
    <t>229 - DEBRA (West Bengal)</t>
  </si>
  <si>
    <t>230 - DASPUR (West Bengal)</t>
  </si>
  <si>
    <t>231 - GHATAL (West Bengal)</t>
  </si>
  <si>
    <t>232 - CHANDRAKONA (West Bengal)</t>
  </si>
  <si>
    <t>233 - GARBETA (West Bengal)</t>
  </si>
  <si>
    <t>234 - SALBONI (West Bengal)</t>
  </si>
  <si>
    <t>235 - KESHPUR (West Bengal)</t>
  </si>
  <si>
    <t>236 - MEDINIPUR (West Bengal)</t>
  </si>
  <si>
    <t>237 - BINPUR (West Bengal)</t>
  </si>
  <si>
    <t>238 - BANDWAN (West Bengal)</t>
  </si>
  <si>
    <t>239 - BALARAMPUR (West Bengal)</t>
  </si>
  <si>
    <t>240 - BAGHMUNDI (West Bengal)</t>
  </si>
  <si>
    <t>241 - JOYPUR (West Bengal)</t>
  </si>
  <si>
    <t>242 - PURULIA (West Bengal)</t>
  </si>
  <si>
    <t>243 - MANBAZAR (West Bengal)</t>
  </si>
  <si>
    <t>244 - KASHIPUR (West Bengal)</t>
  </si>
  <si>
    <t>245 - PARA (West Bengal)</t>
  </si>
  <si>
    <t>246 - RAGHUNATHPUR (West Bengal)</t>
  </si>
  <si>
    <t>247 - SALTORA (West Bengal)</t>
  </si>
  <si>
    <t>248 - CHHATNA (West Bengal)</t>
  </si>
  <si>
    <t>249 - RANIBANDH (West Bengal)</t>
  </si>
  <si>
    <t>250 - RAIPUR (West Bengal)</t>
  </si>
  <si>
    <t>251 - TALDANGRA (West Bengal)</t>
  </si>
  <si>
    <t>252 - BANKURA (West Bengal)</t>
  </si>
  <si>
    <t>253 - BARJORA (West Bengal)</t>
  </si>
  <si>
    <t>254 - ONDA (West Bengal)</t>
  </si>
  <si>
    <t>255 - BISHNUPUR (West Bengal)</t>
  </si>
  <si>
    <t>256 - KATULPUR (West Bengal)</t>
  </si>
  <si>
    <t>257 - INDUS (West Bengal)</t>
  </si>
  <si>
    <t>258 - SONAMUKHI (West Bengal)</t>
  </si>
  <si>
    <t>259 - KHANDAGHOSH (West Bengal)</t>
  </si>
  <si>
    <t>260 - BARDHAMAN DAKSHIN (West Bengal)</t>
  </si>
  <si>
    <t>261 - RAINA (West Bengal)</t>
  </si>
  <si>
    <t>262 - JAMALPUR (West Bengal)</t>
  </si>
  <si>
    <t>263 - MONTESWAR (West Bengal)</t>
  </si>
  <si>
    <t>264 - KALNA (West Bengal)</t>
  </si>
  <si>
    <t>265 - MEMARI (West Bengal)</t>
  </si>
  <si>
    <t>266 - BARDHAMAN UTTAR (West Bengal)</t>
  </si>
  <si>
    <t>267 - BHATAR (West Bengal)</t>
  </si>
  <si>
    <t>268 - PURBASTHALI DAKSHIN (West Bengal)</t>
  </si>
  <si>
    <t>269 - PURBASTHALI UTTAR (West Bengal)</t>
  </si>
  <si>
    <t>270 - KATWA (West Bengal)</t>
  </si>
  <si>
    <t>271 - KETUGRAM (West Bengal)</t>
  </si>
  <si>
    <t>272 - MANGALKOT (West Bengal)</t>
  </si>
  <si>
    <t>273 - AUSGRAM (West Bengal)</t>
  </si>
  <si>
    <t>274 - GALSI (West Bengal)</t>
  </si>
  <si>
    <t>275 - PANDABESWAR (West Bengal)</t>
  </si>
  <si>
    <t>276 - DURGAPUR PURBA (West Bengal)</t>
  </si>
  <si>
    <t>277 - DURGAPUR PASCHIM (West Bengal)</t>
  </si>
  <si>
    <t>278 - RANIGANJ (West Bengal)</t>
  </si>
  <si>
    <t>279 - JAMURIA (West Bengal)</t>
  </si>
  <si>
    <t>280 - ASANSOL DAKSHIN (West Bengal)</t>
  </si>
  <si>
    <t>281 - ASANSOL UTTAR (West Bengal)</t>
  </si>
  <si>
    <t>282 - KULTI (West Bengal)</t>
  </si>
  <si>
    <t>283 - BARABANI (West Bengal)</t>
  </si>
  <si>
    <t>284 - DUBRAJPUR (West Bengal)</t>
  </si>
  <si>
    <t>285 - SURI (West Bengal)</t>
  </si>
  <si>
    <t>286 - BOLPUR (West Bengal)</t>
  </si>
  <si>
    <t>287 - NANOOR (West Bengal)</t>
  </si>
  <si>
    <t>288 - LABPUR (West Bengal)</t>
  </si>
  <si>
    <t>289 - SAINTHIA (West Bengal)</t>
  </si>
  <si>
    <t>290 - MAYURESWAR (West Bengal)</t>
  </si>
  <si>
    <t>291 - RAMPURHAT (West Bengal)</t>
  </si>
  <si>
    <t>292 - HANSAN (West Bengal)</t>
  </si>
  <si>
    <t>293 - NALHATI (West Bengal)</t>
  </si>
  <si>
    <t>294 - MURARAI (West Bengal)</t>
  </si>
  <si>
    <t>DADHIRAM RAY</t>
  </si>
  <si>
    <t>NISHITH PRAMANIK</t>
  </si>
  <si>
    <t>SUKUMAR RAY</t>
  </si>
  <si>
    <t>RATHINDRA BOSE</t>
  </si>
  <si>
    <t>SABITRI BARMAN</t>
  </si>
  <si>
    <t>SANGITA ROY</t>
  </si>
  <si>
    <t>AJAY RAY</t>
  </si>
  <si>
    <t>GIRIJA SHANKAR RAY</t>
  </si>
  <si>
    <t>MALATI RAVA ROY</t>
  </si>
  <si>
    <t>MANOJ KUMAR ORAON</t>
  </si>
  <si>
    <t>BISHAL LAMA</t>
  </si>
  <si>
    <t>PARITOSH DAS</t>
  </si>
  <si>
    <t>DIPAK BARMAN</t>
  </si>
  <si>
    <t>LAXUMAN LIMBU</t>
  </si>
  <si>
    <t>NARESH ROY</t>
  </si>
  <si>
    <t>DALIM CHANDRA ROY</t>
  </si>
  <si>
    <t>ANANTA DEB ADHIKARY</t>
  </si>
  <si>
    <t>DINESH SARKAR</t>
  </si>
  <si>
    <t>SIKHA CHATTERJEE</t>
  </si>
  <si>
    <t>SUKRA MUNDA</t>
  </si>
  <si>
    <t>PUNA BHENGRA</t>
  </si>
  <si>
    <t>BHARAT KUMAR CHETRI</t>
  </si>
  <si>
    <t>NOMAN RAI</t>
  </si>
  <si>
    <t>SONAM LAMA</t>
  </si>
  <si>
    <t>ANANDAMAY BARMAN</t>
  </si>
  <si>
    <t>SHANKAR GHOSH</t>
  </si>
  <si>
    <t>DURGA MURMU</t>
  </si>
  <si>
    <t>HAMIDUL RAHAMAN</t>
  </si>
  <si>
    <t>AGARWAL KANAIA LAL</t>
  </si>
  <si>
    <t>MD GHULAM RABBANI</t>
  </si>
  <si>
    <t>AZAD MINHAJUL ARFIN</t>
  </si>
  <si>
    <t>BIRAJ BISWAS</t>
  </si>
  <si>
    <t>HARIPADA BARMAN</t>
  </si>
  <si>
    <t>UTPAL BRAHMACHARO</t>
  </si>
  <si>
    <t>KOUSHIK CHOWDHURY</t>
  </si>
  <si>
    <t>MOSARAF HUSSEN</t>
  </si>
  <si>
    <t>TAPAS CHANDRA ROY</t>
  </si>
  <si>
    <t>TORAF HOSSAIN MANDAL</t>
  </si>
  <si>
    <t>BIDYUT KUMAR ROY</t>
  </si>
  <si>
    <t>BUDHRAI TUDU</t>
  </si>
  <si>
    <t>SATYENDRA NATH ROY</t>
  </si>
  <si>
    <t>BIPLAB MITRA</t>
  </si>
  <si>
    <t>JOYEL MURMU</t>
  </si>
  <si>
    <t>CHINMOY DEB BARMAN</t>
  </si>
  <si>
    <t>PRASUN BANERJEE</t>
  </si>
  <si>
    <t>MD. MATIBUR RAHAMAN</t>
  </si>
  <si>
    <t>ABDUR RAHIM BOXI</t>
  </si>
  <si>
    <t>SAMAR MUKHERJEE</t>
  </si>
  <si>
    <t>GOUR CHANDRA MANDAL</t>
  </si>
  <si>
    <t>GOPAL CHANDRA SAHA</t>
  </si>
  <si>
    <t>AMLAN BHADURI (BURO)</t>
  </si>
  <si>
    <t>ISLAM MD NAJRUL</t>
  </si>
  <si>
    <t>SABINA YEASMIN</t>
  </si>
  <si>
    <t>RAJU KARMAKAR</t>
  </si>
  <si>
    <t>MOTAB SHAIKH</t>
  </si>
  <si>
    <t>MOHAMMED NOOR ALAM</t>
  </si>
  <si>
    <t>EMANI BISWAS</t>
  </si>
  <si>
    <t>CHITTA MUKHERJEE</t>
  </si>
  <si>
    <t>AKHRUZZAMAN</t>
  </si>
  <si>
    <t>BAYRON BISWAS</t>
  </si>
  <si>
    <t>ABDUL AZIZ DOCTOR</t>
  </si>
  <si>
    <t>REYAT HOSSAIN SARKAR</t>
  </si>
  <si>
    <t>JULFIKAR ALI</t>
  </si>
  <si>
    <t>GOURI SANKAR GHOSH</t>
  </si>
  <si>
    <t>DILIP SAHA</t>
  </si>
  <si>
    <t>MITALI MAL</t>
  </si>
  <si>
    <t>SUKHEN KUMAR BAGDI</t>
  </si>
  <si>
    <t>GARGI DAS GHOSH</t>
  </si>
  <si>
    <t>MUSTAFIJUR RAHAMAN (SUMAN)</t>
  </si>
  <si>
    <t>HUMAYUN KABIR</t>
  </si>
  <si>
    <t>BHARAT KUMAR JHAWAR</t>
  </si>
  <si>
    <t>SUBRATA MAITRA (KANCHAN)</t>
  </si>
  <si>
    <t>NIAMOT SHEIKH</t>
  </si>
  <si>
    <t>MD. MOSTAFIJUR RAHAMAN</t>
  </si>
  <si>
    <t>BABAR ALI</t>
  </si>
  <si>
    <t>SAMARENDRANATH GHOSH</t>
  </si>
  <si>
    <t>SUBRATA KABIRAJ</t>
  </si>
  <si>
    <t>RUKBANUR RAHMAN</t>
  </si>
  <si>
    <t>ALIFA AHMED</t>
  </si>
  <si>
    <t>SANTANU DEY</t>
  </si>
  <si>
    <t>JEBER SEKH</t>
  </si>
  <si>
    <t>TARAK NATH CHATTERJEE</t>
  </si>
  <si>
    <t>SRUTISEKHAR GOSWAMI</t>
  </si>
  <si>
    <t>SADHAN GHOSH</t>
  </si>
  <si>
    <t>SWAPAN KUMAR DAS</t>
  </si>
  <si>
    <t>PARTHA SARATHI CHATTERJEE(BABU)</t>
  </si>
  <si>
    <t>SUKANTA BISWAS</t>
  </si>
  <si>
    <t>ASHIM BISWAS</t>
  </si>
  <si>
    <t>ASHIM KUMAR BISWAS</t>
  </si>
  <si>
    <t>BANKIM CHANDRA GHOSH</t>
  </si>
  <si>
    <t>ANUPAM BISWAS</t>
  </si>
  <si>
    <t>ASIM KUMAR SARKAR</t>
  </si>
  <si>
    <t>SOMA THAKUR</t>
  </si>
  <si>
    <t>ASHOK KIRTANIA</t>
  </si>
  <si>
    <t>SWAPAN MAJUMDER</t>
  </si>
  <si>
    <t>SUBRATA THAKUR</t>
  </si>
  <si>
    <t>BINA MONDAL</t>
  </si>
  <si>
    <t>BURHANUL MUKADDIM (LITON)</t>
  </si>
  <si>
    <t>DEBDAS MONDAL</t>
  </si>
  <si>
    <t>DR. SUMAY HIRA</t>
  </si>
  <si>
    <t>MOHAMMAD KASEM SIDDIQUE</t>
  </si>
  <si>
    <t>SUDIPTA DAS</t>
  </si>
  <si>
    <t>SUMITRO CHATTERJEE</t>
  </si>
  <si>
    <t>PAWAN KUMAR SINGH</t>
  </si>
  <si>
    <t>DR. RAJESH KUMAR</t>
  </si>
  <si>
    <t>ARJUN SINGH</t>
  </si>
  <si>
    <t>KAUSTUV BAGCHI</t>
  </si>
  <si>
    <t>KALYAN CHAKRABORTI</t>
  </si>
  <si>
    <t>SOURAV SIKDAR</t>
  </si>
  <si>
    <t>RATNA DEBNATH</t>
  </si>
  <si>
    <t>MADAN MITRA</t>
  </si>
  <si>
    <t>SAJAL GHOSH</t>
  </si>
  <si>
    <t>ARIJIT BAKSHI</t>
  </si>
  <si>
    <t>TAPASH CHATTERJEE</t>
  </si>
  <si>
    <t>SHARADWAT MUKHERJEE</t>
  </si>
  <si>
    <t>TARUNJYOTI TEWARI</t>
  </si>
  <si>
    <t>ANINDYA BANERJEE</t>
  </si>
  <si>
    <t>SANKAR CHATTERJEE</t>
  </si>
  <si>
    <t>ANISUR RAHAMAN BIDESH</t>
  </si>
  <si>
    <t>ABDUL MATIN MUHAMMAD</t>
  </si>
  <si>
    <t>USHA RANI MONDAL</t>
  </si>
  <si>
    <t>SANAT SARDAR</t>
  </si>
  <si>
    <t>SURAJIT MITRA (BADAL)</t>
  </si>
  <si>
    <t>MD. TAUSEFFUR RAHMAN</t>
  </si>
  <si>
    <t>REKHA PATRA</t>
  </si>
  <si>
    <t>BIKARNA NASKAR</t>
  </si>
  <si>
    <t>NILIMA MISTRY BISHAL</t>
  </si>
  <si>
    <t>GANESH CHANDRA MONDAL</t>
  </si>
  <si>
    <t>SAMIR KUMAR JANA</t>
  </si>
  <si>
    <t>DIPANKAR JANA</t>
  </si>
  <si>
    <t>SUMANTA MANDAL</t>
  </si>
  <si>
    <t>BARNALI DHARA</t>
  </si>
  <si>
    <t>TAPAS MONDAL S/O-SHIBPRASAD MONDAL</t>
  </si>
  <si>
    <t>JOYDEB HALDER S/O - KARTICK CHANDRA HALDER</t>
  </si>
  <si>
    <t>BISWANATH DAS</t>
  </si>
  <si>
    <t>BIVAS SARDAR</t>
  </si>
  <si>
    <t>PARESH RAM DAS</t>
  </si>
  <si>
    <t>MD BAHARUL ISLAM</t>
  </si>
  <si>
    <t>BIMAN BANERJEE</t>
  </si>
  <si>
    <t>SARMISTHA PURKAIT</t>
  </si>
  <si>
    <t>MD. SAMIM AHAMED MOLLA</t>
  </si>
  <si>
    <t>PANNA LAL HALDER</t>
  </si>
  <si>
    <t>ABDUR RAZZAK MOLLA</t>
  </si>
  <si>
    <t>AGNISWAR NASKAR</t>
  </si>
  <si>
    <t>DILIP MONDAL</t>
  </si>
  <si>
    <t>RUPA GANGULY</t>
  </si>
  <si>
    <t>MD NAWSAD SIDDIQUE</t>
  </si>
  <si>
    <t>AHMED JAVED KHAN</t>
  </si>
  <si>
    <t>SARBORI MUKHERJEE</t>
  </si>
  <si>
    <t>DEBASISH DHAR</t>
  </si>
  <si>
    <t>PAPIA ADHIKARY</t>
  </si>
  <si>
    <t>SANKAR SIKDER</t>
  </si>
  <si>
    <t>DR. INDRANIL KHAN</t>
  </si>
  <si>
    <t>SUBHASIS DAS</t>
  </si>
  <si>
    <t>ASHOK KUMAR DEB</t>
  </si>
  <si>
    <t>ABDUL KHALEQUE MOLLA</t>
  </si>
  <si>
    <t>FIRHAD HAKIM</t>
  </si>
  <si>
    <t>ADHIKARI SUVENDU</t>
  </si>
  <si>
    <t>DASGUPTA SWAPAN</t>
  </si>
  <si>
    <t>SOBHANDEB CHATTOPADHYAY</t>
  </si>
  <si>
    <t>BANDYOPADHYAY NAYNA</t>
  </si>
  <si>
    <t>SANDIPAN SAHA</t>
  </si>
  <si>
    <t>KUNAL KUMAR GHOSH</t>
  </si>
  <si>
    <t>VIJAY OJHA</t>
  </si>
  <si>
    <t>PURNIMA CHAKRABORTY</t>
  </si>
  <si>
    <t>TAPAS ROY</t>
  </si>
  <si>
    <t>RITESH TIWARI</t>
  </si>
  <si>
    <t>SANJAY KUMAR SINGH</t>
  </si>
  <si>
    <t>UMESH RAI</t>
  </si>
  <si>
    <t>ARUP ROY</t>
  </si>
  <si>
    <t>RUDRANIL GHOSH</t>
  </si>
  <si>
    <t>NANDITA CHOWDHURY</t>
  </si>
  <si>
    <t>PRIYA PAUL</t>
  </si>
  <si>
    <t>GULSAN MULLICK</t>
  </si>
  <si>
    <t>RITABRATA BANERJEE</t>
  </si>
  <si>
    <t>CHIRAN BERA</t>
  </si>
  <si>
    <t>PULAK ROY</t>
  </si>
  <si>
    <t>DR. HIRANMOY CHATTOPADHYAYA (HIRAAN)</t>
  </si>
  <si>
    <t>ARUNAVA SEN</t>
  </si>
  <si>
    <t>AMIT SAMANTA</t>
  </si>
  <si>
    <t>SAMIR KUMAR PANJA</t>
  </si>
  <si>
    <t>ANUPAM GHOSH</t>
  </si>
  <si>
    <t>TAPAS MAITY</t>
  </si>
  <si>
    <t>DIPANJAN CHAKRABORTY</t>
  </si>
  <si>
    <t>BHASKAR BHATTACHARYA</t>
  </si>
  <si>
    <t>DILIP SINGH</t>
  </si>
  <si>
    <t>ARUP KUMAR DAS</t>
  </si>
  <si>
    <t>Deepanjan Kumar Guha</t>
  </si>
  <si>
    <t>SUBIR NAG</t>
  </si>
  <si>
    <t>SUMANA SARKAR</t>
  </si>
  <si>
    <t>TUSAR KUMAR MAJUMDAR</t>
  </si>
  <si>
    <t>SWARAJ GHOSH</t>
  </si>
  <si>
    <t>SWATI KHANDOKER</t>
  </si>
  <si>
    <t>PROSENJIT BAG</t>
  </si>
  <si>
    <t>MADHUMITA GHOSH</t>
  </si>
  <si>
    <t>ASIMA PATRA</t>
  </si>
  <si>
    <t>SANTU PAN</t>
  </si>
  <si>
    <t>BIMAN GHOSH</t>
  </si>
  <si>
    <t>BAG HEMANTA</t>
  </si>
  <si>
    <t>PRASANTA DIGAR</t>
  </si>
  <si>
    <t>SUSANTA GHOSH</t>
  </si>
  <si>
    <t>HARE KRISHNA BERA</t>
  </si>
  <si>
    <t>SUBRATA MAITY(RANA)</t>
  </si>
  <si>
    <t>SINTU SENAPATI</t>
  </si>
  <si>
    <t>ASHOKE DINDA</t>
  </si>
  <si>
    <t>KHANRA NIRMAL</t>
  </si>
  <si>
    <t>SUBHAS CHANDRA PANJA</t>
  </si>
  <si>
    <t>PRADIP KUMAR BIJALI</t>
  </si>
  <si>
    <t>PIJUSH KANTI DAS</t>
  </si>
  <si>
    <t>TAPAN MAITY</t>
  </si>
  <si>
    <t>SUMITA SINHA</t>
  </si>
  <si>
    <t>SANTANU PRAMANIK</t>
  </si>
  <si>
    <t>SUBRATA PAIK</t>
  </si>
  <si>
    <t>DR. CHANDRA SEKHAR MONDAL</t>
  </si>
  <si>
    <t>ADHIKARI DIBYENDU</t>
  </si>
  <si>
    <t>AJIT KUMAR JANA</t>
  </si>
  <si>
    <t>AMIYA KISKU</t>
  </si>
  <si>
    <t>RAJESH MAHATA</t>
  </si>
  <si>
    <t>LAKSHMI KANTA SAU</t>
  </si>
  <si>
    <t>BHADRA HEMRAM</t>
  </si>
  <si>
    <t>DILIP GHOSH</t>
  </si>
  <si>
    <t>GIRI RAMAPRASAD</t>
  </si>
  <si>
    <t>AMAL KUMAR PANDA</t>
  </si>
  <si>
    <t>SWAGATA MANNA</t>
  </si>
  <si>
    <t>DINEN ROY</t>
  </si>
  <si>
    <t>SUBHASHIS OM</t>
  </si>
  <si>
    <t>TAPAN KUMAR DUTTA</t>
  </si>
  <si>
    <t>SITAL KAPAT</t>
  </si>
  <si>
    <t>SUKANTA DOLUI</t>
  </si>
  <si>
    <t>PRADIP LODHA</t>
  </si>
  <si>
    <t>BIMAN MAHATA</t>
  </si>
  <si>
    <t>SEULI SAHA</t>
  </si>
  <si>
    <t>SANKAR KUMAR GUCHHAIT</t>
  </si>
  <si>
    <t>DR. PRANAT TUDU</t>
  </si>
  <si>
    <t>LABSEN BASKEY</t>
  </si>
  <si>
    <t>JALADHAR MAHATO</t>
  </si>
  <si>
    <t>RAHIDAS MAHATO</t>
  </si>
  <si>
    <t>BISWAJIT MAHATO</t>
  </si>
  <si>
    <t>SUDIP KUMAR MUKHERJEE</t>
  </si>
  <si>
    <t>MAYNA MURMU</t>
  </si>
  <si>
    <t>KAMALA KANTA HANSDA</t>
  </si>
  <si>
    <t>NADIAR CHAND BOURI</t>
  </si>
  <si>
    <t>MAMONI BAURI</t>
  </si>
  <si>
    <t>CHANDANA BAURI</t>
  </si>
  <si>
    <t>SATYANARAYAN MUKHOPADHYAY</t>
  </si>
  <si>
    <t>KSHUDIRAM TUDU</t>
  </si>
  <si>
    <t>KSHETRAMOHAN HANSDA</t>
  </si>
  <si>
    <t>SOUVIK PATRA</t>
  </si>
  <si>
    <t>NILADRI SEKHAR DANA</t>
  </si>
  <si>
    <t>BILLESWAR SINHA</t>
  </si>
  <si>
    <t>AMARNATH SHAKHA</t>
  </si>
  <si>
    <t>SHUKLA CHATTERJEE</t>
  </si>
  <si>
    <t>LAKSHMI KANTA MAJUMDAR</t>
  </si>
  <si>
    <t>NIRMAL KUMAR DHARA</t>
  </si>
  <si>
    <t>DIBAKAR GHARAMI</t>
  </si>
  <si>
    <t>NABIN CHANDRA BAG</t>
  </si>
  <si>
    <t>MOUMITA BISWAS MISRA</t>
  </si>
  <si>
    <t>SUBHASH PATRA</t>
  </si>
  <si>
    <t>ARUN HALDER</t>
  </si>
  <si>
    <t>SAIKAT PANJA</t>
  </si>
  <si>
    <t>SIDDHARTHA MAJUMDAR</t>
  </si>
  <si>
    <t>MANAB GUHA</t>
  </si>
  <si>
    <t>NISITH KUMAR MALIK</t>
  </si>
  <si>
    <t>KARFA SOUMEN</t>
  </si>
  <si>
    <t>PRAN KRISHNA TAPADAR</t>
  </si>
  <si>
    <t>GOPAL CHATTOPADHYAY</t>
  </si>
  <si>
    <t>KRISHNA GHOSH</t>
  </si>
  <si>
    <t>ANADI GHOSH</t>
  </si>
  <si>
    <t>SHISHIR GHOSH</t>
  </si>
  <si>
    <t>KALITA MAJI</t>
  </si>
  <si>
    <t>RAJU PATRA</t>
  </si>
  <si>
    <t>JITENDRA KUMAR TEWARI</t>
  </si>
  <si>
    <t>CHANDRA SEKHAR BANERJEE</t>
  </si>
  <si>
    <t>LAKSHMAN CHANDRA GHORUI</t>
  </si>
  <si>
    <t>PARTHA GHOSH</t>
  </si>
  <si>
    <t>DR. BIJAN MUKHERJEE</t>
  </si>
  <si>
    <t>AGNIMITRA PAUL</t>
  </si>
  <si>
    <t>KRISHNENDU MUKHERJEE</t>
  </si>
  <si>
    <t>AJAY KUMAR PODDAR</t>
  </si>
  <si>
    <t>ARIJIT ROY</t>
  </si>
  <si>
    <t>ANUP KUMAR SAHA</t>
  </si>
  <si>
    <t>JAGANNATH CHATTOPADHYAY</t>
  </si>
  <si>
    <t>CHANDRANATH SINHA</t>
  </si>
  <si>
    <t>KHOKAN DAS</t>
  </si>
  <si>
    <t>DEBASIS OJHA (HAKU DA)</t>
  </si>
  <si>
    <t>KRISHNA KANTA SAHA</t>
  </si>
  <si>
    <t>DUDH KUMAR MONDAL</t>
  </si>
  <si>
    <t>DHRUBA SAHA</t>
  </si>
  <si>
    <t>FAYEZUL HAQUE (KAJAL SK)</t>
  </si>
  <si>
    <t>RAJENDRA PRASAD SINGH(RAJU SINGH)</t>
  </si>
  <si>
    <t>DR. MOSARRAF HOSSAIN</t>
  </si>
  <si>
    <t>Bharatiya Janata Party</t>
  </si>
  <si>
    <t>All India Trinamool Congress</t>
  </si>
  <si>
    <t>Indian National Congress</t>
  </si>
  <si>
    <t>Aam Janata Unnayan party</t>
  </si>
  <si>
    <t>Communist Party of India (Marxist)</t>
  </si>
  <si>
    <t>All India Secular Front</t>
  </si>
  <si>
    <t>Won</t>
  </si>
  <si>
    <t>Leading</t>
  </si>
  <si>
    <t>ADHIKARY PARESH CHANDRA</t>
  </si>
  <si>
    <t>DR. SABLU BARMAN</t>
  </si>
  <si>
    <t>PARTHA PRATIM RAY</t>
  </si>
  <si>
    <t>AVIJIT DE BHOWMIK</t>
  </si>
  <si>
    <t>HARIHAR DAS</t>
  </si>
  <si>
    <t>ASHUTOSH BARMA</t>
  </si>
  <si>
    <t>UDAYAN GUHA</t>
  </si>
  <si>
    <t>SAILENDRA NATH BARMA</t>
  </si>
  <si>
    <t>SHIBSANKAR PAUL</t>
  </si>
  <si>
    <t>RAJEEV TIRKEY</t>
  </si>
  <si>
    <t>BIRENDRA BARA (ORAON)</t>
  </si>
  <si>
    <t>SUMAN KANJILAL</t>
  </si>
  <si>
    <t>SUBHASH CHANDRA ROY</t>
  </si>
  <si>
    <t>JAYPRAKASH TOPPO</t>
  </si>
  <si>
    <t>NIRMAL CHANDRA ROY</t>
  </si>
  <si>
    <t>RAMMOHAN RAY</t>
  </si>
  <si>
    <t>KRISHNA DAS</t>
  </si>
  <si>
    <t>SWAPNA BARMAN</t>
  </si>
  <si>
    <t>RANJAN SIL SHARMA</t>
  </si>
  <si>
    <t>BULU CHIK BARAIK</t>
  </si>
  <si>
    <t>SANJAY KUJUR</t>
  </si>
  <si>
    <t>RUDEN SADA LEPCHA</t>
  </si>
  <si>
    <t>BIJOY KUMAR RAI</t>
  </si>
  <si>
    <t>AMAR LAMA</t>
  </si>
  <si>
    <t>SHANKAR MALAKAR</t>
  </si>
  <si>
    <t>GOUTAM DEB</t>
  </si>
  <si>
    <t>REENA TOPNO EKKA</t>
  </si>
  <si>
    <t>SANKAR ADHIKARI</t>
  </si>
  <si>
    <t>CHITRAJIT ROY</t>
  </si>
  <si>
    <t>SARAJIT BISWAS</t>
  </si>
  <si>
    <t>MANOJ KUMAR JAIN</t>
  </si>
  <si>
    <t>GOUTAM PAUL</t>
  </si>
  <si>
    <t>SATYAJIT BARMAN</t>
  </si>
  <si>
    <t>NITAI BAISHYA</t>
  </si>
  <si>
    <t>KRISHNA KALYANI</t>
  </si>
  <si>
    <t>SABITA BARMAN</t>
  </si>
  <si>
    <t>REKHA ROY</t>
  </si>
  <si>
    <t>SUBHENDU SARKAR</t>
  </si>
  <si>
    <t>ARPITA GHOSH</t>
  </si>
  <si>
    <t>CHINTAMANI BIHA</t>
  </si>
  <si>
    <t>Goutam Das</t>
  </si>
  <si>
    <t>DEBABRATA MAJUMDER</t>
  </si>
  <si>
    <t>AMAL KISKU</t>
  </si>
  <si>
    <t>PRASENJIT DAS</t>
  </si>
  <si>
    <t>RATAN DAS</t>
  </si>
  <si>
    <t>MAUSAM B NOOR</t>
  </si>
  <si>
    <t>ABISHEK SINGHANIA</t>
  </si>
  <si>
    <t>KABITA MANDAL</t>
  </si>
  <si>
    <t>LIPIKA BARMAN GHOSH</t>
  </si>
  <si>
    <t>ASIS KUNDU (PATA)</t>
  </si>
  <si>
    <t>NIBARAN GHOSH</t>
  </si>
  <si>
    <t>ABDUL HANNAN</t>
  </si>
  <si>
    <t>CHANDANA SARKAR</t>
  </si>
  <si>
    <t>SUNIL CHOWDHURI</t>
  </si>
  <si>
    <t>MD NAJME ALAM</t>
  </si>
  <si>
    <t>MAHABIR GHOSH</t>
  </si>
  <si>
    <t>JAKIR HOSSAIN</t>
  </si>
  <si>
    <t>NASIR SAIKH</t>
  </si>
  <si>
    <t>TAPAS KUMAR CHAKRABORTY</t>
  </si>
  <si>
    <t>TOUHIDUR RAHAMAN SUMAN</t>
  </si>
  <si>
    <t>MAHAMUDAL HASAN</t>
  </si>
  <si>
    <t>ABDUL SOUMIK HOSSAIN</t>
  </si>
  <si>
    <t>SHAONI SINGHA ROY</t>
  </si>
  <si>
    <t>PRONAB CHANDRA DAS</t>
  </si>
  <si>
    <t>ASHIS MARJIT</t>
  </si>
  <si>
    <t>PROTIMA RAJAK</t>
  </si>
  <si>
    <t>APURBA SARKAR (DAVID)</t>
  </si>
  <si>
    <t>ANAMIKA GHOSH</t>
  </si>
  <si>
    <t>BAPAN GHOSH</t>
  </si>
  <si>
    <t>RABIUL ALAM CHOWDHURY</t>
  </si>
  <si>
    <t>ADHIR RANJAN CHOWDHURY</t>
  </si>
  <si>
    <t>BIJOY SEKH</t>
  </si>
  <si>
    <t>RANA MANDAL</t>
  </si>
  <si>
    <t>IANUS ALI SARKAR</t>
  </si>
  <si>
    <t>SOHAM CHAKRABORTY</t>
  </si>
  <si>
    <t>DILIP KUMAR PODDAR</t>
  </si>
  <si>
    <t>ANIMA DUTTA</t>
  </si>
  <si>
    <t>KALLOL KHAN</t>
  </si>
  <si>
    <t>SAIKAT SARKAR</t>
  </si>
  <si>
    <t>SOMNATH DUTTA</t>
  </si>
  <si>
    <t>PUNDARIKAKSHYA SAHA</t>
  </si>
  <si>
    <t>UJJAL BISWAS</t>
  </si>
  <si>
    <t>BRAJAKISHORE GOSWAMI</t>
  </si>
  <si>
    <t>TAPAS KUMAR GHOSH</t>
  </si>
  <si>
    <t>SAMIR KUMAR PODDAR</t>
  </si>
  <si>
    <t>BARNALI DEY ROY</t>
  </si>
  <si>
    <t>SOUGATA KUMAR BURMAN</t>
  </si>
  <si>
    <t>SUBHANKAR SINGHA (JISHU)</t>
  </si>
  <si>
    <t>DR. ATINDRA NATH MONDAL</t>
  </si>
  <si>
    <t>DR. RAJIB BISWAS.</t>
  </si>
  <si>
    <t>MADHUPARNA THAKUR</t>
  </si>
  <si>
    <t>BISWAJIT DAS</t>
  </si>
  <si>
    <t>RITUPARNA ADDHYA</t>
  </si>
  <si>
    <t>NAROTTAM BISWAS</t>
  </si>
  <si>
    <t>TARAK SAHA</t>
  </si>
  <si>
    <t>SUKRITI KUMAR SARKAR</t>
  </si>
  <si>
    <t>JYOTI PRIYA MALLICK</t>
  </si>
  <si>
    <t>NARAYAN GOSWAMI</t>
  </si>
  <si>
    <t>ARINDAM DEY</t>
  </si>
  <si>
    <t>SUBODH ADHIKARY</t>
  </si>
  <si>
    <t>SANAT DEY</t>
  </si>
  <si>
    <t>AMIT GUPTA</t>
  </si>
  <si>
    <t>SOMENATH SHYAM ICHINI</t>
  </si>
  <si>
    <t>TRINANKUR BHATTACHARJEE</t>
  </si>
  <si>
    <t>RAJ CHAKRABORTY (RAJU)</t>
  </si>
  <si>
    <t>DEVADEEP PUROHIT</t>
  </si>
  <si>
    <t>CHANDRIMA BHATTACHARYA</t>
  </si>
  <si>
    <t>TIRTHANKAR GHOSH</t>
  </si>
  <si>
    <t>ARUP CHOUDHURY (PULAK)</t>
  </si>
  <si>
    <t>SAYANTIKA BANERJEE</t>
  </si>
  <si>
    <t>BRATYABRATA BASU</t>
  </si>
  <si>
    <t>PIYUSH KANODIA</t>
  </si>
  <si>
    <t>SUJIT BOSE</t>
  </si>
  <si>
    <t>ADITI MUNSHI</t>
  </si>
  <si>
    <t>RATHIN GHOSH</t>
  </si>
  <si>
    <t>SABYASACHI DUTTA</t>
  </si>
  <si>
    <t>MD MOFIDUL HOQUE SAHAJI MINTU</t>
  </si>
  <si>
    <t>PIYARUL ISLAM</t>
  </si>
  <si>
    <t>RUDRENDRA PATRA</t>
  </si>
  <si>
    <t>JHARNA SARDAR</t>
  </si>
  <si>
    <t>DR. SOURYA BANERJEE</t>
  </si>
  <si>
    <t>MD. MUSA KAREMULLA</t>
  </si>
  <si>
    <t>ANANDA SARKAR</t>
  </si>
  <si>
    <t>SUBRATA MONDAL</t>
  </si>
  <si>
    <t>BIKASH SARDAR</t>
  </si>
  <si>
    <t>MADHABI MAHALDER</t>
  </si>
  <si>
    <t>ASIT KUMAR HALDAR</t>
  </si>
  <si>
    <t>MANTURAM PAKHIRA</t>
  </si>
  <si>
    <t>BANKIM CHANDRA HAZRA</t>
  </si>
  <si>
    <t>ABANI NASKAR</t>
  </si>
  <si>
    <t>PALASH RANA</t>
  </si>
  <si>
    <t>MALLIKA PAIK W/O - ASHOK PAIK</t>
  </si>
  <si>
    <t>ALOKE HALDER</t>
  </si>
  <si>
    <t>TUMPA SARDAR</t>
  </si>
  <si>
    <t>Prasanta Bayen</t>
  </si>
  <si>
    <t>ARABUL ISLAM</t>
  </si>
  <si>
    <t>BISWAJIT PAUL</t>
  </si>
  <si>
    <t>UTTAM KUMAR BANIK</t>
  </si>
  <si>
    <t>GOURSUNDAR GHOSH</t>
  </si>
  <si>
    <t>DIPAK KUMAR HALDER</t>
  </si>
  <si>
    <t>JAHANGIR KHAN</t>
  </si>
  <si>
    <t>SOMASHREE BETAL</t>
  </si>
  <si>
    <t>ABHIJIT SARDAR</t>
  </si>
  <si>
    <t>ARUNDHUTI MAITRA(LOVELY)</t>
  </si>
  <si>
    <t>SAOKAT MOLLA</t>
  </si>
  <si>
    <t>BANERJEE SANDIP</t>
  </si>
  <si>
    <t>DEBABRATA MAJUMDAR (MALAY)</t>
  </si>
  <si>
    <t>FIRDOUSI BEGAM</t>
  </si>
  <si>
    <t>AROOP BISWAS</t>
  </si>
  <si>
    <t>SUBHASISH CHAKRABORTY</t>
  </si>
  <si>
    <t>RATNA CHATTERJEE</t>
  </si>
  <si>
    <t>TAMANATH BHOWMICK</t>
  </si>
  <si>
    <t>DR TARUN KUMAR ADAK</t>
  </si>
  <si>
    <t>BIR BAHADUR SINGH</t>
  </si>
  <si>
    <t>RAKESH SINGH</t>
  </si>
  <si>
    <t>MAMATA BANERJEE</t>
  </si>
  <si>
    <t>DEBASISH KUMAR (DEBA)</t>
  </si>
  <si>
    <t>SHATORUPA</t>
  </si>
  <si>
    <t>SANTOSH KUMAR PATHAK</t>
  </si>
  <si>
    <t>DR. PRIYANKA TIBREWAL</t>
  </si>
  <si>
    <t>PARTHA CHAUDHURY</t>
  </si>
  <si>
    <t>VIJAY UPADHYAY</t>
  </si>
  <si>
    <t>SHASHI PANJA</t>
  </si>
  <si>
    <t>SHRREYA PANDE</t>
  </si>
  <si>
    <t>ATIN GHOSH</t>
  </si>
  <si>
    <t>KAILASH KUMAR MISHRA</t>
  </si>
  <si>
    <t>GAUTAM CHOWDHURY</t>
  </si>
  <si>
    <t>BIPLAB KUMAR MANDAL</t>
  </si>
  <si>
    <t>DR. RANA CHATTERJEE</t>
  </si>
  <si>
    <t>SHYAMAL KUMAR HATI</t>
  </si>
  <si>
    <t>BARNALI DHALI NASKAR</t>
  </si>
  <si>
    <t>RANJAN PAUL</t>
  </si>
  <si>
    <t>RUDRA PROSAD BANERJEE</t>
  </si>
  <si>
    <t>BIMAL KUMAR DAS</t>
  </si>
  <si>
    <t>SWAMI MANGALANANDA PURI</t>
  </si>
  <si>
    <t>NADEBASI JANA</t>
  </si>
  <si>
    <t>PRAMANSHU RANA</t>
  </si>
  <si>
    <t>SUKANTA KUMAR PAUL</t>
  </si>
  <si>
    <t>PROBHAKAR PANDIT</t>
  </si>
  <si>
    <t>SUBIR CHATTERJEE (TINKAI)</t>
  </si>
  <si>
    <t>GOBINDA HAZRA</t>
  </si>
  <si>
    <t>SIRSANYA BANDOPADHYAY</t>
  </si>
  <si>
    <t>TANMOY GHOSH</t>
  </si>
  <si>
    <t>ARINDAM GUIN (BUBAI)</t>
  </si>
  <si>
    <t>BECHARAM MANNA</t>
  </si>
  <si>
    <t>Indranil Sen</t>
  </si>
  <si>
    <t>DEBANGSHU BHATTACHARYA</t>
  </si>
  <si>
    <t>RANJAN DHARA</t>
  </si>
  <si>
    <t>SAMIR CHAKRABORTY</t>
  </si>
  <si>
    <t>BIDESH RANJAN BOSE</t>
  </si>
  <si>
    <t>DEBASISH MUKHERJEE</t>
  </si>
  <si>
    <t>SNEHASIS CHAKRABORTY</t>
  </si>
  <si>
    <t>KARABI MANNA</t>
  </si>
  <si>
    <t>BARNALI DAS</t>
  </si>
  <si>
    <t>RAMENDU SINHARAY</t>
  </si>
  <si>
    <t>PARTHA HAZARI</t>
  </si>
  <si>
    <t>BAG MITA</t>
  </si>
  <si>
    <t>DR. NIRMAL MAJI</t>
  </si>
  <si>
    <t>PALASH KUMAR ROY</t>
  </si>
  <si>
    <t>DIPENDRA NARAYAN ROY</t>
  </si>
  <si>
    <t>ASHIM KUMAR MAJI</t>
  </si>
  <si>
    <t>SIRAJ KHAN</t>
  </si>
  <si>
    <t>CHANDAN MONDAL</t>
  </si>
  <si>
    <t>SUKUMAR DE</t>
  </si>
  <si>
    <t>TILAK KUMAR CHAKRABORTY</t>
  </si>
  <si>
    <t>TAPASI MONDAL</t>
  </si>
  <si>
    <t>PABITRA KAR</t>
  </si>
  <si>
    <t>UTTAM BARIK</t>
  </si>
  <si>
    <t>PIJUS KANTI PANDA</t>
  </si>
  <si>
    <t>DEBASIS BHUNYA</t>
  </si>
  <si>
    <t>MANAB KUMAR PARUA</t>
  </si>
  <si>
    <t>RABIN CHANDRA MANDAL</t>
  </si>
  <si>
    <t>TARUN KUMAR JANA</t>
  </si>
  <si>
    <t>AKHIL GIRI</t>
  </si>
  <si>
    <t>TARUN KUMAR MAITY</t>
  </si>
  <si>
    <t>MANIK MAITI</t>
  </si>
  <si>
    <t>DULAL MURMU</t>
  </si>
  <si>
    <t>AJIT MAHATA</t>
  </si>
  <si>
    <t>MONGAL SAREN</t>
  </si>
  <si>
    <t>RAMJIBAN MANDI</t>
  </si>
  <si>
    <t>PRADIP SARKAR</t>
  </si>
  <si>
    <t>PRATIBHA MAITI</t>
  </si>
  <si>
    <t>MANAS RANJAN BHUNIA</t>
  </si>
  <si>
    <t>AJIT MAITY</t>
  </si>
  <si>
    <t>TAPAN BHUYA</t>
  </si>
  <si>
    <t>RAJIB BANERJEE</t>
  </si>
  <si>
    <t>ASHIS HUDAIT</t>
  </si>
  <si>
    <t>SHYAMALI SARDAR</t>
  </si>
  <si>
    <t>DOLOI SURJYA KANTA</t>
  </si>
  <si>
    <t>UTTARA SINGHA (HAZRA)</t>
  </si>
  <si>
    <t>SRIKANTA MAHATA</t>
  </si>
  <si>
    <t>SUVENDU SAMANTA</t>
  </si>
  <si>
    <t>SUJOY HAZRA</t>
  </si>
  <si>
    <t>BIRBAHA HANSDA</t>
  </si>
  <si>
    <t>RAJIB LOCHAN SAREN</t>
  </si>
  <si>
    <t>SHANTIRAM MAHATO</t>
  </si>
  <si>
    <t>SUSHANTA MAHATO</t>
  </si>
  <si>
    <t>ARJUN MAHATO</t>
  </si>
  <si>
    <t>SUJOY BANERJEE</t>
  </si>
  <si>
    <t>SANDHYA RANI TUDU</t>
  </si>
  <si>
    <t>SOUMEN BELTHARIA</t>
  </si>
  <si>
    <t>MANIK CHANDRA BAURI</t>
  </si>
  <si>
    <t>HAZARI BOURI</t>
  </si>
  <si>
    <t>UTTAM BAURI</t>
  </si>
  <si>
    <t>SWAPAN KUMAR MONDAL</t>
  </si>
  <si>
    <t>TANUSHREE HANSDA</t>
  </si>
  <si>
    <t>THAKURMANI SAREN</t>
  </si>
  <si>
    <t>FALGUNI SINGHABABU</t>
  </si>
  <si>
    <t>DR. ANUP MANDAL</t>
  </si>
  <si>
    <t>GOUTAM MISHRA (SHYAM)</t>
  </si>
  <si>
    <t>SUBRATA DUTTA (GOPI)</t>
  </si>
  <si>
    <t>TANMAY GHOSH (BUMBA)</t>
  </si>
  <si>
    <t>HARAKALI PROTIHER</t>
  </si>
  <si>
    <t>SHYAMALI ROY BAGDI</t>
  </si>
  <si>
    <t>KALLOL SAHA</t>
  </si>
  <si>
    <t>GOUTAM DHARA</t>
  </si>
  <si>
    <t>MANDIRA DALUI</t>
  </si>
  <si>
    <t>BHUTNATH MALIK</t>
  </si>
  <si>
    <t>CHOWDHURI SIDDIQULLAH</t>
  </si>
  <si>
    <t>DEBO PRASAD BAG (POLTU)</t>
  </si>
  <si>
    <t>RASH BIHARI  HALDER</t>
  </si>
  <si>
    <t>SANJOY DAS</t>
  </si>
  <si>
    <t>KONER SHANTANU</t>
  </si>
  <si>
    <t>SWAPAN DEBNATH</t>
  </si>
  <si>
    <t>VASUNDHARA GOSWAMI</t>
  </si>
  <si>
    <t>RABINDRANATH CHATTERJEE</t>
  </si>
  <si>
    <t>SEKH SAHONAWEZ</t>
  </si>
  <si>
    <t>APURBA CHOWDHURY (ACHAL)</t>
  </si>
  <si>
    <t>SHYAMA PRASANNA LOHAR</t>
  </si>
  <si>
    <t>ALOK KUMAR MAJHI</t>
  </si>
  <si>
    <t>NARENDRANATH CHAKRABORTY</t>
  </si>
  <si>
    <t>PRADIP MAZUMDAR</t>
  </si>
  <si>
    <t>KABI DUTTA</t>
  </si>
  <si>
    <t>KALOBARAN MONDAL</t>
  </si>
  <si>
    <t>HARERAM SINGH</t>
  </si>
  <si>
    <t>TAPAS BANERJEE</t>
  </si>
  <si>
    <t>MOLOY GHATAK</t>
  </si>
  <si>
    <t>ABHIJIT GHATAK</t>
  </si>
  <si>
    <t>BIDHAN UPADHYAY</t>
  </si>
  <si>
    <t>NARESH CHANDRA BAURI</t>
  </si>
  <si>
    <t>UJJAL CHATTERJEE</t>
  </si>
  <si>
    <t>BIDHAN CHANDRA MAJHI</t>
  </si>
  <si>
    <t>ABHIJIT SINHA (RANA)</t>
  </si>
  <si>
    <t>NILABATI SAHA</t>
  </si>
  <si>
    <t>ABHIJIT ROY</t>
  </si>
  <si>
    <t>ASISH BANERJEE</t>
  </si>
  <si>
    <t>NIKHIL BANERJEE</t>
  </si>
  <si>
    <t>ANIL KUMAR SINGH</t>
  </si>
  <si>
    <t>SANJIBUR RAHAMAN (BAPPA)</t>
  </si>
  <si>
    <t>Bharatiya Gorkha Prajatantrik Morcha</t>
  </si>
  <si>
    <t>Lost</t>
  </si>
  <si>
    <t>Trailing</t>
  </si>
  <si>
    <t>KAMAL KUMAR ROY</t>
  </si>
  <si>
    <t>KHAGEN CHANDRA BARMAN</t>
  </si>
  <si>
    <t>PRANAY KARJEE</t>
  </si>
  <si>
    <t>NAZMUL ALOM SARKAR</t>
  </si>
  <si>
    <t>NAMADIPTI ROY ADHIKARY</t>
  </si>
  <si>
    <t>RABIN ROY</t>
  </si>
  <si>
    <t>BIKAS MANDAL</t>
  </si>
  <si>
    <t>AKIK HASSAN</t>
  </si>
  <si>
    <t>DHANANJOY RAVA</t>
  </si>
  <si>
    <t>KISHOR MINJ</t>
  </si>
  <si>
    <t>ANJAN CHIK BARAIK</t>
  </si>
  <si>
    <t>SHYAMAL ROY</t>
  </si>
  <si>
    <t>KAMAL KISHOR ROY</t>
  </si>
  <si>
    <t>SUBHASH LOHAR</t>
  </si>
  <si>
    <t>NIRANJAN ROY</t>
  </si>
  <si>
    <t>SUDEB RAY</t>
  </si>
  <si>
    <t>DEBRAJ BARMAN</t>
  </si>
  <si>
    <t>KHARENDRA NATH ROY</t>
  </si>
  <si>
    <t>MANU ORAON</t>
  </si>
  <si>
    <t>DIL KUMAR ORAON</t>
  </si>
  <si>
    <t>BHERNONE BRITTO LEPCHA</t>
  </si>
  <si>
    <t>AJOY LUCAS EDWARDS</t>
  </si>
  <si>
    <t>BANDANA RAI</t>
  </si>
  <si>
    <t>JHAREN ROY</t>
  </si>
  <si>
    <t>SARADINDU CHAKRABORTY (JOY)</t>
  </si>
  <si>
    <t>NAVANEETA TIRKEY</t>
  </si>
  <si>
    <t>ZAKIR ABEDIN</t>
  </si>
  <si>
    <t>MD. SAMI KHAN</t>
  </si>
  <si>
    <t>MD. GHULAM SARWAR</t>
  </si>
  <si>
    <t>ALI IMRAN RAMZ</t>
  </si>
  <si>
    <t>MD. SAHABUDDIN</t>
  </si>
  <si>
    <t>ANAMIKA ROY</t>
  </si>
  <si>
    <t>HIRU ROY SARKAR</t>
  </si>
  <si>
    <t>MOHIT SENGUPTA</t>
  </si>
  <si>
    <t>AMAL ACHARJEE</t>
  </si>
  <si>
    <t>JYOTIRMOY ROY</t>
  </si>
  <si>
    <t>MOFAZZAL HOSSAIN</t>
  </si>
  <si>
    <t>ARNAB CHOWDHURY</t>
  </si>
  <si>
    <t>BAPPAI HORO</t>
  </si>
  <si>
    <t>BIPLAB BARMAN</t>
  </si>
  <si>
    <t>SUBHASISH PAL (SONA)</t>
  </si>
  <si>
    <t>BASUDEV MURMU</t>
  </si>
  <si>
    <t>KSHITISH CHANDRA SARKAR</t>
  </si>
  <si>
    <t>ASIF MEHBUB</t>
  </si>
  <si>
    <t>MOSTAQUE ALAM</t>
  </si>
  <si>
    <t>ASHIS DAS</t>
  </si>
  <si>
    <t>ALAM MOTTAKIN</t>
  </si>
  <si>
    <t>ANSARUL HAQUE (KALU)</t>
  </si>
  <si>
    <t>BHUPENDRA NATH HALDER (ARJUN)</t>
  </si>
  <si>
    <t>AMBAR MITRA</t>
  </si>
  <si>
    <t>SAYEM CHOWDHURY (BABU)</t>
  </si>
  <si>
    <t>MD. KARIMULLAH HAQUE</t>
  </si>
  <si>
    <t>MAMUNI MANDAL</t>
  </si>
  <si>
    <t>AMIRUL ISLAM</t>
  </si>
  <si>
    <t>SASTI CHARAN GHOSH</t>
  </si>
  <si>
    <t>ALFAJUDDIN BISWAS</t>
  </si>
  <si>
    <t>MOHAMMAD IMRAN ALI</t>
  </si>
  <si>
    <t>SUROJIT PODDAR</t>
  </si>
  <si>
    <t>MASIUR RAHAMAN</t>
  </si>
  <si>
    <t>AMAR KUMAR DAS</t>
  </si>
  <si>
    <t>ANJU BEGAM</t>
  </si>
  <si>
    <t>JAMAL HOSSAIN</t>
  </si>
  <si>
    <t>ALI SIDDIQUE</t>
  </si>
  <si>
    <t>HIRU HALDAR</t>
  </si>
  <si>
    <t>DHRUBAJOTI SAHA</t>
  </si>
  <si>
    <t>SANJIT DAS</t>
  </si>
  <si>
    <t>SHAMIM RANA</t>
  </si>
  <si>
    <t>AZHERUDDIN MD (SIZAR)</t>
  </si>
  <si>
    <t>ATAUR RAHAMAN</t>
  </si>
  <si>
    <t>SHOAIB AHMED</t>
  </si>
  <si>
    <t>NARU GOPAL MUKHERJEE</t>
  </si>
  <si>
    <t>TANMOY BISWAS</t>
  </si>
  <si>
    <t>SAHINA MOMTAZ KHAN</t>
  </si>
  <si>
    <t>BEGAM SAHANAJ</t>
  </si>
  <si>
    <t>NABA KUMAR SARKAR</t>
  </si>
  <si>
    <t>PRABHAS MAJUMDAR</t>
  </si>
  <si>
    <t>SUBODH CHANDRA BISWAS</t>
  </si>
  <si>
    <t>MD SAMSUR ALI MALLICK</t>
  </si>
  <si>
    <t>SABINA IYASMIN SEKH</t>
  </si>
  <si>
    <t>SUKLA SAHA</t>
  </si>
  <si>
    <t>JAKIR  HOSSAIN MONDAL</t>
  </si>
  <si>
    <t>ADWAITA BISWAS</t>
  </si>
  <si>
    <t>SWARNENDU SINHA</t>
  </si>
  <si>
    <t>LABANI JANGI</t>
  </si>
  <si>
    <t>SOUMEN MAHATO</t>
  </si>
  <si>
    <t>DEBASISH  CHAKRABORTY(DEBU)</t>
  </si>
  <si>
    <t>ARCHANA BISWAS</t>
  </si>
  <si>
    <t>MRINAL BISWAS (MINI)</t>
  </si>
  <si>
    <t>ARINDAM BISWAS</t>
  </si>
  <si>
    <t>NARAYAN DAS GUPTA</t>
  </si>
  <si>
    <t>SABUJ DAS</t>
  </si>
  <si>
    <t>SWAPAN KUMAR SARKAR</t>
  </si>
  <si>
    <t>GOUR BISWAS</t>
  </si>
  <si>
    <t>PIJUSH KANTI SAHA</t>
  </si>
  <si>
    <t>ASISH KUMAR SARKAR</t>
  </si>
  <si>
    <t>SAJAL BISWAS</t>
  </si>
  <si>
    <t>BISWAJIT  MONDAL</t>
  </si>
  <si>
    <t>MD. KUTUBUDDIN FATEHE</t>
  </si>
  <si>
    <t>RIJINANDAN BISWAS</t>
  </si>
  <si>
    <t>BISWAJIT MAITY</t>
  </si>
  <si>
    <t>DEBASISH RAKSHIT</t>
  </si>
  <si>
    <t>DEBAJYOTI MAJUMDER</t>
  </si>
  <si>
    <t>ASH NARAYAN SINGH</t>
  </si>
  <si>
    <t>PARVEZ AHMAD KHAN</t>
  </si>
  <si>
    <t>GARGI CHATTERJEE</t>
  </si>
  <si>
    <t>SUMAN RANJAN BANDYOPADHYAY</t>
  </si>
  <si>
    <t>DEBAJYOTI DAS (SUBHO)</t>
  </si>
  <si>
    <t>DIPSITA DHAR</t>
  </si>
  <si>
    <t>KALATAN DASGUPTA</t>
  </si>
  <si>
    <t>MANASH MUKHERJEE</t>
  </si>
  <si>
    <t>SAYANDEEP MITRA</t>
  </si>
  <si>
    <t>MAYUKH BISWAS</t>
  </si>
  <si>
    <t>SAPTARSHI DEB</t>
  </si>
  <si>
    <t>SOUMYAJIT RAHA</t>
  </si>
  <si>
    <t>SUBHAJIT DASGUPTA</t>
  </si>
  <si>
    <t>PRIYANKA BARMAN</t>
  </si>
  <si>
    <t>HEMANTA DAS</t>
  </si>
  <si>
    <t>TARUN KANTI GHOSH</t>
  </si>
  <si>
    <t>BHASKAR KUMAR MONDAL</t>
  </si>
  <si>
    <t>PRATIK MONDAL</t>
  </si>
  <si>
    <t>RABINDRA NATH MAHATA</t>
  </si>
  <si>
    <t>AYNUL AREFIN(RAJU AHMED)</t>
  </si>
  <si>
    <t>KOUSHIK SIDHARTHA</t>
  </si>
  <si>
    <t>SANGITA MANDAL</t>
  </si>
  <si>
    <t>ADWAITYA JOTDAR</t>
  </si>
  <si>
    <t>ASIT ROY</t>
  </si>
  <si>
    <t>RAMSANKAR HALDER</t>
  </si>
  <si>
    <t>SATYARANJAN DAS</t>
  </si>
  <si>
    <t>NARAYAN DAS</t>
  </si>
  <si>
    <t>SWAPAN SINGHA</t>
  </si>
  <si>
    <t>ABDUL MALEQUE MOLLA</t>
  </si>
  <si>
    <t>SAMYA GANGULY</t>
  </si>
  <si>
    <t>ASHOKE KUMAR GAYEN</t>
  </si>
  <si>
    <t>APURBA PRAMANIK (APU)</t>
  </si>
  <si>
    <t>SWAPAN NASKAR</t>
  </si>
  <si>
    <t>PRABIR MONDAL</t>
  </si>
  <si>
    <t>ASHIM SANPUI</t>
  </si>
  <si>
    <t>MD LAHEK ALI</t>
  </si>
  <si>
    <t>CHANDAN SAHA</t>
  </si>
  <si>
    <t>ABDUL AZIZ AL HASSAN</t>
  </si>
  <si>
    <t>SAMAR NAIYA</t>
  </si>
  <si>
    <t>DEBANGSHU PANDA</t>
  </si>
  <si>
    <t>GOUTAM PAL</t>
  </si>
  <si>
    <t>SHYAMAL DAL</t>
  </si>
  <si>
    <t>PARAMITA DASGUPTA</t>
  </si>
  <si>
    <t>JAYANTA GAYEN</t>
  </si>
  <si>
    <t>DIPU DAS</t>
  </si>
  <si>
    <t>BIKASHRANJAN BHATTACHARYA</t>
  </si>
  <si>
    <t>MONALISA SINHA</t>
  </si>
  <si>
    <t>PARTHA PRATIM BISWAS</t>
  </si>
  <si>
    <t>DR NILAY MAJUMDAR</t>
  </si>
  <si>
    <t>NIHAR BHAKTA</t>
  </si>
  <si>
    <t>SAYAN BANERJEE</t>
  </si>
  <si>
    <t>MUJIBAR RAHMAN KAYAL</t>
  </si>
  <si>
    <t>MONIRUL ISLAM</t>
  </si>
  <si>
    <t>FAIYAZ AHMAD KHAN</t>
  </si>
  <si>
    <t>SHRIJEEB BISWAS</t>
  </si>
  <si>
    <t>MANAS GHOSH</t>
  </si>
  <si>
    <t>AFREEN BEGUM</t>
  </si>
  <si>
    <t>SANJAY BASU</t>
  </si>
  <si>
    <t>ABDUL RAUF</t>
  </si>
  <si>
    <t>PARAMITA ROY</t>
  </si>
  <si>
    <t>BHARATRAM TEWARI</t>
  </si>
  <si>
    <t>JHUMA DAS</t>
  </si>
  <si>
    <t>MOUSUMI GHOSH</t>
  </si>
  <si>
    <t>RAJENDRA GUPTA</t>
  </si>
  <si>
    <t>SANKAR MAITRA</t>
  </si>
  <si>
    <t>GAUTAM RAY</t>
  </si>
  <si>
    <t>IMTEAZ AHMED</t>
  </si>
  <si>
    <t>DR. JAGANNATH BHATTACHARYYA</t>
  </si>
  <si>
    <t>ABHIJIT BANERJEE</t>
  </si>
  <si>
    <t>SAMIR MALICK</t>
  </si>
  <si>
    <t>FARID MOLLAH</t>
  </si>
  <si>
    <t>NASIR KHAN</t>
  </si>
  <si>
    <t>ASHOK DALUI</t>
  </si>
  <si>
    <t>AMIRUL ISLAM KHAN</t>
  </si>
  <si>
    <t>ASIT BARAN SAU</t>
  </si>
  <si>
    <t>BHASKAR ROY</t>
  </si>
  <si>
    <t>JOSHIMUDDIN MALLICK</t>
  </si>
  <si>
    <t>SASTHI MAJI</t>
  </si>
  <si>
    <t>NAZIRA KHATUN</t>
  </si>
  <si>
    <t>DULU DAS</t>
  </si>
  <si>
    <t>MINAKSHI MUKHERJEE</t>
  </si>
  <si>
    <t>NABANITA CHAKRABORTY</t>
  </si>
  <si>
    <t>CHANDRANATH BANERJEE</t>
  </si>
  <si>
    <t>DEBASHIS CHATTERJEE</t>
  </si>
  <si>
    <t>Monish Panda</t>
  </si>
  <si>
    <t>SUNIL KUMAR SAHA</t>
  </si>
  <si>
    <t>BIKASH GOLDER</t>
  </si>
  <si>
    <t>AMJAD HOSSAIN SK</t>
  </si>
  <si>
    <t>ANIRBAN SARKAR</t>
  </si>
  <si>
    <t>ASIF ALI</t>
  </si>
  <si>
    <t>SUDIPTA SARKAR</t>
  </si>
  <si>
    <t>SK.MUJAFFAR ALI  (MAJA)</t>
  </si>
  <si>
    <t>RUMA AHIRI</t>
  </si>
  <si>
    <t>ADESH KHAMRUI</t>
  </si>
  <si>
    <t>SANDIP KUMAR SAMANTA</t>
  </si>
  <si>
    <t>BITHIKA PANDIT</t>
  </si>
  <si>
    <t>MUKTARAM DHAWREY</t>
  </si>
  <si>
    <t>SK SADDAM HOSSAIN</t>
  </si>
  <si>
    <t>NABENDU GHARA</t>
  </si>
  <si>
    <t>SK IBRAHIM ALI</t>
  </si>
  <si>
    <t>ABJAL ALI SHA</t>
  </si>
  <si>
    <t>SWAPAN KUMAR BARMAN</t>
  </si>
  <si>
    <t>CHANDAN MAITI</t>
  </si>
  <si>
    <t>PARITOSH PATTANAYAK</t>
  </si>
  <si>
    <t>ASOKE KUMAR PATRA</t>
  </si>
  <si>
    <t>SANTI GOPAL GIRI</t>
  </si>
  <si>
    <t>RITA DAS</t>
  </si>
  <si>
    <t>SAIKAT GIRI</t>
  </si>
  <si>
    <t>SUTANU MAITY</t>
  </si>
  <si>
    <t>PRATIVA RANI KAR SHASMAL</t>
  </si>
  <si>
    <t>HIMANGSHU DAS</t>
  </si>
  <si>
    <t>TEHERAN HOSSAIN</t>
  </si>
  <si>
    <t>ASOKE KUMAR MAITI</t>
  </si>
  <si>
    <t>SUBRATA PANDA</t>
  </si>
  <si>
    <t>SHYAMAL KANTI DASPATTANAYEK</t>
  </si>
  <si>
    <t>DR. PULIN BIHARI BASKE</t>
  </si>
  <si>
    <t>BIKASH SHARANGI</t>
  </si>
  <si>
    <t>ARJUN KUMAR MAHATA</t>
  </si>
  <si>
    <t>MALINA MURMU</t>
  </si>
  <si>
    <t>MADHUSUDAN ROY</t>
  </si>
  <si>
    <t>TAPAS SINHA</t>
  </si>
  <si>
    <t>NAKUL CHANDRA BERA</t>
  </si>
  <si>
    <t>ASHOK SEN</t>
  </si>
  <si>
    <t>SK SAJAHAN ALI</t>
  </si>
  <si>
    <t>SUMIT ADHIKARI</t>
  </si>
  <si>
    <t>RANAJIT PAL</t>
  </si>
  <si>
    <t>SANTI NATH SATICK</t>
  </si>
  <si>
    <t>SUPARNA DOLAI MALLICK</t>
  </si>
  <si>
    <t>GHOSH TAPAN KUMAR</t>
  </si>
  <si>
    <t>MOHAN TUDU</t>
  </si>
  <si>
    <t>GURUPADA MONDAL</t>
  </si>
  <si>
    <t>MANIKUNTAL KHAMRAI</t>
  </si>
  <si>
    <t>RABINDRANATH SARDAR</t>
  </si>
  <si>
    <t>RATHU SINGH</t>
  </si>
  <si>
    <t>NAMITA MAHATO</t>
  </si>
  <si>
    <t>NEPAL CHANDRA MAHATO</t>
  </si>
  <si>
    <t>PHANIBHUSHAN KUMAR</t>
  </si>
  <si>
    <t>SAYANTAN GHOSH</t>
  </si>
  <si>
    <t>SHANTIMANI MURMU</t>
  </si>
  <si>
    <t>BAURI SULEKHA</t>
  </si>
  <si>
    <t>ALOKE KUMAR BAURI</t>
  </si>
  <si>
    <t>GANESH BOURI</t>
  </si>
  <si>
    <t>NANDADULAL BAURI</t>
  </si>
  <si>
    <t>RAJIB LOCHAN KAR</t>
  </si>
  <si>
    <t>DEBLINA HEMBRAM</t>
  </si>
  <si>
    <t>RAMCHANDRA MANDI</t>
  </si>
  <si>
    <t>DEBKANTI MAHANTI</t>
  </si>
  <si>
    <t>AVOYANANDA MUKHOPADHYAY</t>
  </si>
  <si>
    <t>SUJIT CHAKRABORTY</t>
  </si>
  <si>
    <t>ASIT BARAN SARMA</t>
  </si>
  <si>
    <t>TITAS GUPTA</t>
  </si>
  <si>
    <t>RAMCHANDRA ROY</t>
  </si>
  <si>
    <t>JHARNA MALLIK</t>
  </si>
  <si>
    <t>AJIT RAY</t>
  </si>
  <si>
    <t>RAMJIBAN RAY</t>
  </si>
  <si>
    <t>SUDIPTA GUPTA</t>
  </si>
  <si>
    <t>SOMNATH MAJI</t>
  </si>
  <si>
    <t>SAMAR HAZRA</t>
  </si>
  <si>
    <t>SHARMISTHA NAG SAHA</t>
  </si>
  <si>
    <t>KRISHANU BHADRA</t>
  </si>
  <si>
    <t>MAMONI MONDAL (ROY)</t>
  </si>
  <si>
    <t>HASINA KHATUN</t>
  </si>
  <si>
    <t>JIYADUL SEKH</t>
  </si>
  <si>
    <t>PRADIP KUMAR SAHA</t>
  </si>
  <si>
    <t>SANJIB KUMAR DAS</t>
  </si>
  <si>
    <t>JAKIR GAINE</t>
  </si>
  <si>
    <t>MIRAJ ALAM SEKH</t>
  </si>
  <si>
    <t>CHANCHAL KUMAR MAJHI</t>
  </si>
  <si>
    <t>MANIMALA DAS</t>
  </si>
  <si>
    <t>PRABIR KUMAR MONDAL</t>
  </si>
  <si>
    <t>SIMANTA CHATTERJEE</t>
  </si>
  <si>
    <t>PRAVASH SAIN</t>
  </si>
  <si>
    <t>NARAN BAURI</t>
  </si>
  <si>
    <t>MD. SABBIR HUSSAIN</t>
  </si>
  <si>
    <t>SILPI CHAKRABORTY</t>
  </si>
  <si>
    <t>AKHILESH KUMAR SINGH</t>
  </si>
  <si>
    <t>BHABANI CHARAN ACHARYA</t>
  </si>
  <si>
    <t>BISWAJIT BAURI (BAPI)</t>
  </si>
  <si>
    <t>BIJOY BAGDI</t>
  </si>
  <si>
    <t>MOTIUR RAHAMAN</t>
  </si>
  <si>
    <t>BAPI SOREN</t>
  </si>
  <si>
    <t>SHYAMALI PRADHAN</t>
  </si>
  <si>
    <t>MANASA HANSDA</t>
  </si>
  <si>
    <t>DEBU CHUNARI</t>
  </si>
  <si>
    <t>JAYANTA BHALLA</t>
  </si>
  <si>
    <t>SANJIB MALLICK</t>
  </si>
  <si>
    <t>KAMAL HASAN</t>
  </si>
  <si>
    <t>DR ABDUL KARIM</t>
  </si>
  <si>
    <t>RINKI GHOSH</t>
  </si>
  <si>
    <t>All India Forward Bloc</t>
  </si>
  <si>
    <t>Revolutionary Socialist Party</t>
  </si>
  <si>
    <t>Independent</t>
  </si>
  <si>
    <t>Social Democratic Party Of India</t>
  </si>
  <si>
    <t>Communist Party of India (Marxist-Leninist) (Liberation)</t>
  </si>
  <si>
    <t>Communist Party of India</t>
  </si>
  <si>
    <t>West Bengal Election 2026 - Party Summary</t>
  </si>
  <si>
    <t>Party</t>
  </si>
  <si>
    <t>Total Seats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</si>
</sst>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79646"/>
        </patternFill>
      </fill>
    </dxf>
    <dxf>
      <font>
        <color rgb="FF000000"/>
      </font>
      <fill>
        <patternFill>
          <bgColor rgb="FF00B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5.7109375" customWidth="1"/>
    <col min="2" max="3" width="13.7109375" customWidth="1"/>
    <col min="4" max="4" width="22.7109375" customWidth="1"/>
    <col min="5" max="5" width="30.7109375" customWidth="1"/>
    <col min="6" max="6" width="14.7109375" customWidth="1"/>
    <col min="7" max="7" width="12.7109375" customWidth="1"/>
    <col min="8" max="8" width="14.7109375" customWidth="1"/>
    <col min="9" max="9" width="22.7109375" customWidth="1"/>
    <col min="10" max="10" width="30.7109375" customWidth="1"/>
    <col min="11" max="11" width="14.7109375" customWidth="1"/>
    <col min="12" max="12" width="12.7109375" customWidth="1"/>
    <col min="13" max="13" width="22.7109375" customWidth="1"/>
    <col min="14" max="14" width="30.7109375" customWidth="1"/>
    <col min="15" max="15" width="14.7109375" customWidth="1"/>
    <col min="16" max="16" width="12.7109375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 t="s">
        <v>16</v>
      </c>
      <c r="B2">
        <v>19</v>
      </c>
      <c r="C2">
        <v>19</v>
      </c>
      <c r="D2" t="s">
        <v>310</v>
      </c>
      <c r="E2" t="s">
        <v>601</v>
      </c>
      <c r="F2">
        <v>119109</v>
      </c>
      <c r="G2" t="s">
        <v>607</v>
      </c>
      <c r="H2">
        <f>F2-K2</f>
        <v>0</v>
      </c>
      <c r="I2" t="s">
        <v>609</v>
      </c>
      <c r="J2" t="s">
        <v>602</v>
      </c>
      <c r="K2">
        <v>89525</v>
      </c>
      <c r="L2" t="s">
        <v>899</v>
      </c>
      <c r="M2" t="s">
        <v>901</v>
      </c>
      <c r="N2" t="s">
        <v>1192</v>
      </c>
      <c r="O2">
        <v>2386</v>
      </c>
      <c r="P2" t="s">
        <v>899</v>
      </c>
    </row>
    <row r="3" spans="1:16">
      <c r="A3" t="s">
        <v>17</v>
      </c>
      <c r="B3">
        <v>24</v>
      </c>
      <c r="C3">
        <v>24</v>
      </c>
      <c r="D3" t="s">
        <v>311</v>
      </c>
      <c r="E3" t="s">
        <v>601</v>
      </c>
      <c r="F3">
        <v>143340</v>
      </c>
      <c r="G3" t="s">
        <v>607</v>
      </c>
      <c r="H3">
        <f>F3-K3</f>
        <v>0</v>
      </c>
      <c r="I3" t="s">
        <v>610</v>
      </c>
      <c r="J3" t="s">
        <v>602</v>
      </c>
      <c r="K3">
        <v>86250</v>
      </c>
      <c r="L3" t="s">
        <v>899</v>
      </c>
      <c r="M3" t="s">
        <v>902</v>
      </c>
      <c r="N3" t="s">
        <v>605</v>
      </c>
      <c r="O3">
        <v>4030</v>
      </c>
      <c r="P3" t="s">
        <v>899</v>
      </c>
    </row>
    <row r="4" spans="1:16">
      <c r="A4" t="s">
        <v>18</v>
      </c>
      <c r="B4">
        <v>23</v>
      </c>
      <c r="C4">
        <v>20</v>
      </c>
      <c r="D4" t="s">
        <v>312</v>
      </c>
      <c r="E4" t="s">
        <v>601</v>
      </c>
      <c r="F4">
        <v>135473</v>
      </c>
      <c r="G4" t="s">
        <v>608</v>
      </c>
      <c r="H4">
        <f>F4-K4</f>
        <v>0</v>
      </c>
      <c r="I4" t="s">
        <v>611</v>
      </c>
      <c r="J4" t="s">
        <v>602</v>
      </c>
      <c r="K4">
        <v>73257</v>
      </c>
      <c r="L4" t="s">
        <v>900</v>
      </c>
      <c r="M4" t="s">
        <v>903</v>
      </c>
      <c r="N4" t="s">
        <v>605</v>
      </c>
      <c r="O4">
        <v>4463</v>
      </c>
      <c r="P4" t="s">
        <v>900</v>
      </c>
    </row>
    <row r="5" spans="1:16">
      <c r="A5" t="s">
        <v>19</v>
      </c>
      <c r="B5">
        <v>23</v>
      </c>
      <c r="C5">
        <v>23</v>
      </c>
      <c r="D5" t="s">
        <v>313</v>
      </c>
      <c r="E5" t="s">
        <v>601</v>
      </c>
      <c r="F5">
        <v>108482</v>
      </c>
      <c r="G5" t="s">
        <v>607</v>
      </c>
      <c r="H5">
        <f>F5-K5</f>
        <v>0</v>
      </c>
      <c r="I5" t="s">
        <v>612</v>
      </c>
      <c r="J5" t="s">
        <v>602</v>
      </c>
      <c r="K5">
        <v>85198</v>
      </c>
      <c r="L5" t="s">
        <v>899</v>
      </c>
      <c r="M5" t="s">
        <v>904</v>
      </c>
      <c r="N5" t="s">
        <v>1192</v>
      </c>
      <c r="O5">
        <v>3137</v>
      </c>
      <c r="P5" t="s">
        <v>899</v>
      </c>
    </row>
    <row r="6" spans="1:16">
      <c r="A6" t="s">
        <v>20</v>
      </c>
      <c r="B6">
        <v>27</v>
      </c>
      <c r="C6">
        <v>27</v>
      </c>
      <c r="D6" t="s">
        <v>314</v>
      </c>
      <c r="E6" t="s">
        <v>601</v>
      </c>
      <c r="F6">
        <v>144367</v>
      </c>
      <c r="G6" t="s">
        <v>607</v>
      </c>
      <c r="H6">
        <f>F6-K6</f>
        <v>0</v>
      </c>
      <c r="I6" t="s">
        <v>613</v>
      </c>
      <c r="J6" t="s">
        <v>602</v>
      </c>
      <c r="K6">
        <v>119089</v>
      </c>
      <c r="L6" t="s">
        <v>899</v>
      </c>
      <c r="M6" t="s">
        <v>905</v>
      </c>
      <c r="N6" t="s">
        <v>605</v>
      </c>
      <c r="O6">
        <v>3979</v>
      </c>
      <c r="P6" t="s">
        <v>899</v>
      </c>
    </row>
    <row r="7" spans="1:16">
      <c r="A7" t="s">
        <v>21</v>
      </c>
      <c r="B7">
        <v>23</v>
      </c>
      <c r="C7">
        <v>23</v>
      </c>
      <c r="D7" t="s">
        <v>315</v>
      </c>
      <c r="E7" t="s">
        <v>602</v>
      </c>
      <c r="F7">
        <v>128188</v>
      </c>
      <c r="G7" t="s">
        <v>607</v>
      </c>
      <c r="H7">
        <f>F7-K7</f>
        <v>0</v>
      </c>
      <c r="I7" t="s">
        <v>614</v>
      </c>
      <c r="J7" t="s">
        <v>601</v>
      </c>
      <c r="K7">
        <v>125467</v>
      </c>
      <c r="L7" t="s">
        <v>899</v>
      </c>
      <c r="M7" t="s">
        <v>906</v>
      </c>
      <c r="N7" t="s">
        <v>603</v>
      </c>
      <c r="O7">
        <v>3262</v>
      </c>
      <c r="P7" t="s">
        <v>899</v>
      </c>
    </row>
    <row r="8" spans="1:16">
      <c r="A8" t="s">
        <v>22</v>
      </c>
      <c r="B8">
        <v>25</v>
      </c>
      <c r="C8">
        <v>25</v>
      </c>
      <c r="D8" t="s">
        <v>316</v>
      </c>
      <c r="E8" t="s">
        <v>601</v>
      </c>
      <c r="F8">
        <v>138255</v>
      </c>
      <c r="G8" t="s">
        <v>607</v>
      </c>
      <c r="H8">
        <f>F8-K8</f>
        <v>0</v>
      </c>
      <c r="I8" t="s">
        <v>615</v>
      </c>
      <c r="J8" t="s">
        <v>602</v>
      </c>
      <c r="K8">
        <v>120808</v>
      </c>
      <c r="L8" t="s">
        <v>899</v>
      </c>
      <c r="M8" t="s">
        <v>907</v>
      </c>
      <c r="N8" t="s">
        <v>1192</v>
      </c>
      <c r="O8">
        <v>3042</v>
      </c>
      <c r="P8" t="s">
        <v>899</v>
      </c>
    </row>
    <row r="9" spans="1:16">
      <c r="A9" t="s">
        <v>23</v>
      </c>
      <c r="B9">
        <v>22</v>
      </c>
      <c r="C9">
        <v>20</v>
      </c>
      <c r="D9" t="s">
        <v>317</v>
      </c>
      <c r="E9" t="s">
        <v>601</v>
      </c>
      <c r="F9">
        <v>124086</v>
      </c>
      <c r="G9" t="s">
        <v>608</v>
      </c>
      <c r="H9">
        <f>F9-K9</f>
        <v>0</v>
      </c>
      <c r="I9" t="s">
        <v>616</v>
      </c>
      <c r="J9" t="s">
        <v>602</v>
      </c>
      <c r="K9">
        <v>88019</v>
      </c>
      <c r="L9" t="s">
        <v>900</v>
      </c>
      <c r="M9" t="s">
        <v>908</v>
      </c>
      <c r="N9" t="s">
        <v>605</v>
      </c>
      <c r="O9">
        <v>6230</v>
      </c>
      <c r="P9" t="s">
        <v>900</v>
      </c>
    </row>
    <row r="10" spans="1:16">
      <c r="A10" t="s">
        <v>24</v>
      </c>
      <c r="B10">
        <v>22</v>
      </c>
      <c r="C10">
        <v>22</v>
      </c>
      <c r="D10" t="s">
        <v>318</v>
      </c>
      <c r="E10" t="s">
        <v>601</v>
      </c>
      <c r="F10">
        <v>122525</v>
      </c>
      <c r="G10" t="s">
        <v>607</v>
      </c>
      <c r="H10">
        <f>F10-K10</f>
        <v>0</v>
      </c>
      <c r="I10" t="s">
        <v>617</v>
      </c>
      <c r="J10" t="s">
        <v>602</v>
      </c>
      <c r="K10">
        <v>96068</v>
      </c>
      <c r="L10" t="s">
        <v>899</v>
      </c>
      <c r="M10" t="s">
        <v>909</v>
      </c>
      <c r="N10" t="s">
        <v>605</v>
      </c>
      <c r="O10">
        <v>4863</v>
      </c>
      <c r="P10" t="s">
        <v>899</v>
      </c>
    </row>
    <row r="11" spans="1:16">
      <c r="A11" t="s">
        <v>25</v>
      </c>
      <c r="B11">
        <v>24</v>
      </c>
      <c r="C11">
        <v>22</v>
      </c>
      <c r="D11" t="s">
        <v>319</v>
      </c>
      <c r="E11" t="s">
        <v>601</v>
      </c>
      <c r="F11">
        <v>138982</v>
      </c>
      <c r="G11" t="s">
        <v>608</v>
      </c>
      <c r="H11">
        <f>F11-K11</f>
        <v>0</v>
      </c>
      <c r="I11" t="s">
        <v>618</v>
      </c>
      <c r="J11" t="s">
        <v>602</v>
      </c>
      <c r="K11">
        <v>87630</v>
      </c>
      <c r="L11" t="s">
        <v>900</v>
      </c>
      <c r="M11" t="s">
        <v>910</v>
      </c>
      <c r="N11" t="s">
        <v>1193</v>
      </c>
      <c r="O11">
        <v>3980</v>
      </c>
      <c r="P11" t="s">
        <v>900</v>
      </c>
    </row>
    <row r="12" spans="1:16">
      <c r="A12" t="s">
        <v>26</v>
      </c>
      <c r="B12">
        <v>23</v>
      </c>
      <c r="C12">
        <v>23</v>
      </c>
      <c r="D12" t="s">
        <v>320</v>
      </c>
      <c r="E12" t="s">
        <v>601</v>
      </c>
      <c r="F12">
        <v>114759</v>
      </c>
      <c r="G12" t="s">
        <v>607</v>
      </c>
      <c r="H12">
        <f>F12-K12</f>
        <v>0</v>
      </c>
      <c r="I12" t="s">
        <v>619</v>
      </c>
      <c r="J12" t="s">
        <v>602</v>
      </c>
      <c r="K12">
        <v>76916</v>
      </c>
      <c r="L12" t="s">
        <v>899</v>
      </c>
      <c r="M12" t="s">
        <v>911</v>
      </c>
      <c r="N12" t="s">
        <v>603</v>
      </c>
      <c r="O12">
        <v>3186</v>
      </c>
      <c r="P12" t="s">
        <v>899</v>
      </c>
    </row>
    <row r="13" spans="1:16">
      <c r="A13" t="s">
        <v>27</v>
      </c>
      <c r="B13">
        <v>22</v>
      </c>
      <c r="C13">
        <v>19</v>
      </c>
      <c r="D13" t="s">
        <v>321</v>
      </c>
      <c r="E13" t="s">
        <v>601</v>
      </c>
      <c r="F13">
        <v>122808</v>
      </c>
      <c r="G13" t="s">
        <v>608</v>
      </c>
      <c r="H13">
        <f>F13-K13</f>
        <v>0</v>
      </c>
      <c r="I13" t="s">
        <v>620</v>
      </c>
      <c r="J13" t="s">
        <v>602</v>
      </c>
      <c r="K13">
        <v>64288</v>
      </c>
      <c r="L13" t="s">
        <v>900</v>
      </c>
      <c r="M13" t="s">
        <v>912</v>
      </c>
      <c r="N13" t="s">
        <v>605</v>
      </c>
      <c r="O13">
        <v>6480</v>
      </c>
      <c r="P13" t="s">
        <v>900</v>
      </c>
    </row>
    <row r="14" spans="1:16">
      <c r="A14" t="s">
        <v>28</v>
      </c>
      <c r="B14">
        <v>24</v>
      </c>
      <c r="C14">
        <v>24</v>
      </c>
      <c r="D14" t="s">
        <v>322</v>
      </c>
      <c r="E14" t="s">
        <v>601</v>
      </c>
      <c r="F14">
        <v>134370</v>
      </c>
      <c r="G14" t="s">
        <v>607</v>
      </c>
      <c r="H14">
        <f>F14-K14</f>
        <v>0</v>
      </c>
      <c r="I14" t="s">
        <v>621</v>
      </c>
      <c r="J14" t="s">
        <v>602</v>
      </c>
      <c r="K14">
        <v>88371</v>
      </c>
      <c r="L14" t="s">
        <v>899</v>
      </c>
      <c r="M14" t="s">
        <v>913</v>
      </c>
      <c r="N14" t="s">
        <v>605</v>
      </c>
      <c r="O14">
        <v>6133</v>
      </c>
      <c r="P14" t="s">
        <v>899</v>
      </c>
    </row>
    <row r="15" spans="1:16">
      <c r="A15" t="s">
        <v>29</v>
      </c>
      <c r="B15">
        <v>19</v>
      </c>
      <c r="C15">
        <v>19</v>
      </c>
      <c r="D15" t="s">
        <v>323</v>
      </c>
      <c r="E15" t="s">
        <v>601</v>
      </c>
      <c r="F15">
        <v>102488</v>
      </c>
      <c r="G15" t="s">
        <v>607</v>
      </c>
      <c r="H15">
        <f>F15-K15</f>
        <v>0</v>
      </c>
      <c r="I15" t="s">
        <v>622</v>
      </c>
      <c r="J15" t="s">
        <v>602</v>
      </c>
      <c r="K15">
        <v>61578</v>
      </c>
      <c r="L15" t="s">
        <v>899</v>
      </c>
      <c r="M15" t="s">
        <v>914</v>
      </c>
      <c r="N15" t="s">
        <v>1193</v>
      </c>
      <c r="O15">
        <v>3129</v>
      </c>
      <c r="P15" t="s">
        <v>899</v>
      </c>
    </row>
    <row r="16" spans="1:16">
      <c r="A16" t="s">
        <v>30</v>
      </c>
      <c r="B16">
        <v>15</v>
      </c>
      <c r="C16">
        <v>15</v>
      </c>
      <c r="D16" t="s">
        <v>324</v>
      </c>
      <c r="E16" t="s">
        <v>601</v>
      </c>
      <c r="F16">
        <v>134798</v>
      </c>
      <c r="G16" t="s">
        <v>607</v>
      </c>
      <c r="H16">
        <f>F16-K16</f>
        <v>0</v>
      </c>
      <c r="I16" t="s">
        <v>623</v>
      </c>
      <c r="J16" t="s">
        <v>602</v>
      </c>
      <c r="K16">
        <v>96248</v>
      </c>
      <c r="L16" t="s">
        <v>899</v>
      </c>
      <c r="M16" t="s">
        <v>915</v>
      </c>
      <c r="N16" t="s">
        <v>605</v>
      </c>
      <c r="O16">
        <v>7625</v>
      </c>
      <c r="P16" t="s">
        <v>899</v>
      </c>
    </row>
    <row r="17" spans="1:16">
      <c r="A17" t="s">
        <v>31</v>
      </c>
      <c r="B17">
        <v>17</v>
      </c>
      <c r="C17">
        <v>17</v>
      </c>
      <c r="D17" t="s">
        <v>325</v>
      </c>
      <c r="E17" t="s">
        <v>601</v>
      </c>
      <c r="F17">
        <v>147403</v>
      </c>
      <c r="G17" t="s">
        <v>607</v>
      </c>
      <c r="H17">
        <f>F17-K17</f>
        <v>0</v>
      </c>
      <c r="I17" t="s">
        <v>624</v>
      </c>
      <c r="J17" t="s">
        <v>602</v>
      </c>
      <c r="K17">
        <v>90900</v>
      </c>
      <c r="L17" t="s">
        <v>899</v>
      </c>
      <c r="M17" t="s">
        <v>916</v>
      </c>
      <c r="N17" t="s">
        <v>1193</v>
      </c>
      <c r="O17">
        <v>2793</v>
      </c>
      <c r="P17" t="s">
        <v>899</v>
      </c>
    </row>
    <row r="18" spans="1:16">
      <c r="A18" t="s">
        <v>32</v>
      </c>
      <c r="B18">
        <v>19</v>
      </c>
      <c r="C18">
        <v>19</v>
      </c>
      <c r="D18" t="s">
        <v>326</v>
      </c>
      <c r="E18" t="s">
        <v>601</v>
      </c>
      <c r="F18">
        <v>142987</v>
      </c>
      <c r="G18" t="s">
        <v>607</v>
      </c>
      <c r="H18">
        <f>F18-K18</f>
        <v>0</v>
      </c>
      <c r="I18" t="s">
        <v>625</v>
      </c>
      <c r="J18" t="s">
        <v>602</v>
      </c>
      <c r="K18">
        <v>74182</v>
      </c>
      <c r="L18" t="s">
        <v>899</v>
      </c>
      <c r="M18" t="s">
        <v>917</v>
      </c>
      <c r="N18" t="s">
        <v>605</v>
      </c>
      <c r="O18">
        <v>11324</v>
      </c>
      <c r="P18" t="s">
        <v>899</v>
      </c>
    </row>
    <row r="19" spans="1:16">
      <c r="A19" t="s">
        <v>33</v>
      </c>
      <c r="B19">
        <v>13</v>
      </c>
      <c r="C19">
        <v>13</v>
      </c>
      <c r="D19" t="s">
        <v>327</v>
      </c>
      <c r="E19" t="s">
        <v>601</v>
      </c>
      <c r="F19">
        <v>114657</v>
      </c>
      <c r="G19" t="s">
        <v>607</v>
      </c>
      <c r="H19">
        <f>F19-K19</f>
        <v>0</v>
      </c>
      <c r="I19" t="s">
        <v>626</v>
      </c>
      <c r="J19" t="s">
        <v>602</v>
      </c>
      <c r="K19">
        <v>93180</v>
      </c>
      <c r="L19" t="s">
        <v>899</v>
      </c>
      <c r="M19" t="s">
        <v>918</v>
      </c>
      <c r="N19" t="s">
        <v>605</v>
      </c>
      <c r="O19">
        <v>6371</v>
      </c>
      <c r="P19" t="s">
        <v>899</v>
      </c>
    </row>
    <row r="20" spans="1:16">
      <c r="A20" t="s">
        <v>34</v>
      </c>
      <c r="B20">
        <v>18</v>
      </c>
      <c r="C20">
        <v>18</v>
      </c>
      <c r="D20" t="s">
        <v>328</v>
      </c>
      <c r="E20" t="s">
        <v>601</v>
      </c>
      <c r="F20">
        <v>166300</v>
      </c>
      <c r="G20" t="s">
        <v>607</v>
      </c>
      <c r="H20">
        <f>F20-K20</f>
        <v>0</v>
      </c>
      <c r="I20" t="s">
        <v>627</v>
      </c>
      <c r="J20" t="s">
        <v>602</v>
      </c>
      <c r="K20">
        <v>68585</v>
      </c>
      <c r="L20" t="s">
        <v>899</v>
      </c>
      <c r="M20" t="s">
        <v>495</v>
      </c>
      <c r="N20" t="s">
        <v>605</v>
      </c>
      <c r="O20">
        <v>7695</v>
      </c>
      <c r="P20" t="s">
        <v>899</v>
      </c>
    </row>
    <row r="21" spans="1:16">
      <c r="A21" t="s">
        <v>35</v>
      </c>
      <c r="B21">
        <v>14</v>
      </c>
      <c r="C21">
        <v>14</v>
      </c>
      <c r="D21" t="s">
        <v>329</v>
      </c>
      <c r="E21" t="s">
        <v>601</v>
      </c>
      <c r="F21">
        <v>110214</v>
      </c>
      <c r="G21" t="s">
        <v>607</v>
      </c>
      <c r="H21">
        <f>F21-K21</f>
        <v>0</v>
      </c>
      <c r="I21" t="s">
        <v>628</v>
      </c>
      <c r="J21" t="s">
        <v>602</v>
      </c>
      <c r="K21">
        <v>94502</v>
      </c>
      <c r="L21" t="s">
        <v>899</v>
      </c>
      <c r="M21" t="s">
        <v>919</v>
      </c>
      <c r="N21" t="s">
        <v>605</v>
      </c>
      <c r="O21">
        <v>5758</v>
      </c>
      <c r="P21" t="s">
        <v>899</v>
      </c>
    </row>
    <row r="22" spans="1:16">
      <c r="A22" t="s">
        <v>36</v>
      </c>
      <c r="B22">
        <v>19</v>
      </c>
      <c r="C22">
        <v>19</v>
      </c>
      <c r="D22" t="s">
        <v>330</v>
      </c>
      <c r="E22" t="s">
        <v>601</v>
      </c>
      <c r="F22">
        <v>103478</v>
      </c>
      <c r="G22" t="s">
        <v>607</v>
      </c>
      <c r="H22">
        <f>F22-K22</f>
        <v>0</v>
      </c>
      <c r="I22" t="s">
        <v>629</v>
      </c>
      <c r="J22" t="s">
        <v>602</v>
      </c>
      <c r="K22">
        <v>77620</v>
      </c>
      <c r="L22" t="s">
        <v>899</v>
      </c>
      <c r="M22" t="s">
        <v>920</v>
      </c>
      <c r="N22" t="s">
        <v>605</v>
      </c>
      <c r="O22">
        <v>9708</v>
      </c>
      <c r="P22" t="s">
        <v>899</v>
      </c>
    </row>
    <row r="23" spans="1:16">
      <c r="A23" t="s">
        <v>37</v>
      </c>
      <c r="B23">
        <v>12</v>
      </c>
      <c r="C23">
        <v>12</v>
      </c>
      <c r="D23" t="s">
        <v>331</v>
      </c>
      <c r="E23" t="s">
        <v>601</v>
      </c>
      <c r="F23">
        <v>84290</v>
      </c>
      <c r="G23" t="s">
        <v>607</v>
      </c>
      <c r="H23">
        <f>F23-K23</f>
        <v>0</v>
      </c>
      <c r="I23" t="s">
        <v>630</v>
      </c>
      <c r="J23" t="s">
        <v>898</v>
      </c>
      <c r="K23">
        <v>62826</v>
      </c>
      <c r="L23" t="s">
        <v>899</v>
      </c>
      <c r="M23" t="s">
        <v>921</v>
      </c>
      <c r="N23" t="s">
        <v>1194</v>
      </c>
      <c r="O23">
        <v>14231</v>
      </c>
      <c r="P23" t="s">
        <v>899</v>
      </c>
    </row>
    <row r="24" spans="1:16">
      <c r="A24" t="s">
        <v>38</v>
      </c>
      <c r="B24">
        <v>17</v>
      </c>
      <c r="C24">
        <v>17</v>
      </c>
      <c r="D24" t="s">
        <v>332</v>
      </c>
      <c r="E24" t="s">
        <v>601</v>
      </c>
      <c r="F24">
        <v>62076</v>
      </c>
      <c r="G24" t="s">
        <v>607</v>
      </c>
      <c r="H24">
        <f>F24-K24</f>
        <v>0</v>
      </c>
      <c r="I24" t="s">
        <v>631</v>
      </c>
      <c r="J24" t="s">
        <v>898</v>
      </c>
      <c r="K24">
        <v>56019</v>
      </c>
      <c r="L24" t="s">
        <v>899</v>
      </c>
      <c r="M24" t="s">
        <v>922</v>
      </c>
      <c r="N24" t="s">
        <v>1194</v>
      </c>
      <c r="O24">
        <v>48635</v>
      </c>
      <c r="P24" t="s">
        <v>899</v>
      </c>
    </row>
    <row r="25" spans="1:16">
      <c r="A25" t="s">
        <v>39</v>
      </c>
      <c r="B25">
        <v>15</v>
      </c>
      <c r="C25">
        <v>15</v>
      </c>
      <c r="D25" t="s">
        <v>333</v>
      </c>
      <c r="E25" t="s">
        <v>601</v>
      </c>
      <c r="F25">
        <v>74878</v>
      </c>
      <c r="G25" t="s">
        <v>607</v>
      </c>
      <c r="H25">
        <f>F25-K25</f>
        <v>0</v>
      </c>
      <c r="I25" t="s">
        <v>632</v>
      </c>
      <c r="J25" t="s">
        <v>898</v>
      </c>
      <c r="K25">
        <v>57871</v>
      </c>
      <c r="L25" t="s">
        <v>899</v>
      </c>
      <c r="M25" t="s">
        <v>923</v>
      </c>
      <c r="N25" t="s">
        <v>1194</v>
      </c>
      <c r="O25">
        <v>41088</v>
      </c>
      <c r="P25" t="s">
        <v>899</v>
      </c>
    </row>
    <row r="26" spans="1:16">
      <c r="A26" t="s">
        <v>40</v>
      </c>
      <c r="B26">
        <v>14</v>
      </c>
      <c r="C26">
        <v>14</v>
      </c>
      <c r="D26" t="s">
        <v>334</v>
      </c>
      <c r="E26" t="s">
        <v>601</v>
      </c>
      <c r="F26">
        <v>166905</v>
      </c>
      <c r="G26" t="s">
        <v>607</v>
      </c>
      <c r="H26">
        <f>F26-K26</f>
        <v>0</v>
      </c>
      <c r="I26" t="s">
        <v>633</v>
      </c>
      <c r="J26" t="s">
        <v>602</v>
      </c>
      <c r="K26">
        <v>62640</v>
      </c>
      <c r="L26" t="s">
        <v>899</v>
      </c>
      <c r="M26" t="s">
        <v>924</v>
      </c>
      <c r="N26" t="s">
        <v>605</v>
      </c>
      <c r="O26">
        <v>8585</v>
      </c>
      <c r="P26" t="s">
        <v>899</v>
      </c>
    </row>
    <row r="27" spans="1:16">
      <c r="A27" t="s">
        <v>41</v>
      </c>
      <c r="B27">
        <v>15</v>
      </c>
      <c r="C27">
        <v>15</v>
      </c>
      <c r="D27" t="s">
        <v>335</v>
      </c>
      <c r="E27" t="s">
        <v>601</v>
      </c>
      <c r="F27">
        <v>120760</v>
      </c>
      <c r="G27" t="s">
        <v>607</v>
      </c>
      <c r="H27">
        <f>F27-K27</f>
        <v>0</v>
      </c>
      <c r="I27" t="s">
        <v>634</v>
      </c>
      <c r="J27" t="s">
        <v>602</v>
      </c>
      <c r="K27">
        <v>47568</v>
      </c>
      <c r="L27" t="s">
        <v>899</v>
      </c>
      <c r="M27" t="s">
        <v>925</v>
      </c>
      <c r="N27" t="s">
        <v>605</v>
      </c>
      <c r="O27">
        <v>9168</v>
      </c>
      <c r="P27" t="s">
        <v>899</v>
      </c>
    </row>
    <row r="28" spans="1:16">
      <c r="A28" t="s">
        <v>42</v>
      </c>
      <c r="B28">
        <v>15</v>
      </c>
      <c r="C28">
        <v>15</v>
      </c>
      <c r="D28" t="s">
        <v>336</v>
      </c>
      <c r="E28" t="s">
        <v>601</v>
      </c>
      <c r="F28">
        <v>118241</v>
      </c>
      <c r="G28" t="s">
        <v>607</v>
      </c>
      <c r="H28">
        <f>F28-K28</f>
        <v>0</v>
      </c>
      <c r="I28" t="s">
        <v>635</v>
      </c>
      <c r="J28" t="s">
        <v>602</v>
      </c>
      <c r="K28">
        <v>72978</v>
      </c>
      <c r="L28" t="s">
        <v>899</v>
      </c>
      <c r="M28" t="s">
        <v>926</v>
      </c>
      <c r="N28" t="s">
        <v>603</v>
      </c>
      <c r="O28">
        <v>4948</v>
      </c>
      <c r="P28" t="s">
        <v>899</v>
      </c>
    </row>
    <row r="29" spans="1:16">
      <c r="A29" t="s">
        <v>43</v>
      </c>
      <c r="B29">
        <v>20</v>
      </c>
      <c r="C29">
        <v>20</v>
      </c>
      <c r="D29" t="s">
        <v>337</v>
      </c>
      <c r="E29" t="s">
        <v>602</v>
      </c>
      <c r="F29">
        <v>120986</v>
      </c>
      <c r="G29" t="s">
        <v>607</v>
      </c>
      <c r="H29">
        <f>F29-K29</f>
        <v>0</v>
      </c>
      <c r="I29" t="s">
        <v>636</v>
      </c>
      <c r="J29" t="s">
        <v>601</v>
      </c>
      <c r="K29">
        <v>51862</v>
      </c>
      <c r="L29" t="s">
        <v>899</v>
      </c>
      <c r="M29" t="s">
        <v>927</v>
      </c>
      <c r="N29" t="s">
        <v>603</v>
      </c>
      <c r="O29">
        <v>25565</v>
      </c>
      <c r="P29" t="s">
        <v>899</v>
      </c>
    </row>
    <row r="30" spans="1:16">
      <c r="A30" t="s">
        <v>44</v>
      </c>
      <c r="B30">
        <v>18</v>
      </c>
      <c r="C30">
        <v>18</v>
      </c>
      <c r="D30" t="s">
        <v>338</v>
      </c>
      <c r="E30" t="s">
        <v>602</v>
      </c>
      <c r="F30">
        <v>108117</v>
      </c>
      <c r="G30" t="s">
        <v>607</v>
      </c>
      <c r="H30">
        <f>F30-K30</f>
        <v>0</v>
      </c>
      <c r="I30" t="s">
        <v>637</v>
      </c>
      <c r="J30" t="s">
        <v>601</v>
      </c>
      <c r="K30">
        <v>68054</v>
      </c>
      <c r="L30" t="s">
        <v>899</v>
      </c>
      <c r="M30" t="s">
        <v>928</v>
      </c>
      <c r="N30" t="s">
        <v>605</v>
      </c>
      <c r="O30">
        <v>4237</v>
      </c>
      <c r="P30" t="s">
        <v>899</v>
      </c>
    </row>
    <row r="31" spans="1:16">
      <c r="A31" t="s">
        <v>45</v>
      </c>
      <c r="B31">
        <v>19</v>
      </c>
      <c r="C31">
        <v>19</v>
      </c>
      <c r="D31" t="s">
        <v>339</v>
      </c>
      <c r="E31" t="s">
        <v>602</v>
      </c>
      <c r="F31">
        <v>122105</v>
      </c>
      <c r="G31" t="s">
        <v>607</v>
      </c>
      <c r="H31">
        <f>F31-K31</f>
        <v>0</v>
      </c>
      <c r="I31" t="s">
        <v>638</v>
      </c>
      <c r="J31" t="s">
        <v>601</v>
      </c>
      <c r="K31">
        <v>38315</v>
      </c>
      <c r="L31" t="s">
        <v>899</v>
      </c>
      <c r="M31" t="s">
        <v>929</v>
      </c>
      <c r="N31" t="s">
        <v>1194</v>
      </c>
      <c r="O31">
        <v>14495</v>
      </c>
      <c r="P31" t="s">
        <v>899</v>
      </c>
    </row>
    <row r="32" spans="1:16">
      <c r="A32" t="s">
        <v>46</v>
      </c>
      <c r="B32">
        <v>21</v>
      </c>
      <c r="C32">
        <v>21</v>
      </c>
      <c r="D32" t="s">
        <v>340</v>
      </c>
      <c r="E32" t="s">
        <v>602</v>
      </c>
      <c r="F32">
        <v>90277</v>
      </c>
      <c r="G32" t="s">
        <v>607</v>
      </c>
      <c r="H32">
        <f>F32-K32</f>
        <v>0</v>
      </c>
      <c r="I32" t="s">
        <v>639</v>
      </c>
      <c r="J32" t="s">
        <v>601</v>
      </c>
      <c r="K32">
        <v>62266</v>
      </c>
      <c r="L32" t="s">
        <v>899</v>
      </c>
      <c r="M32" t="s">
        <v>930</v>
      </c>
      <c r="N32" t="s">
        <v>603</v>
      </c>
      <c r="O32">
        <v>40346</v>
      </c>
      <c r="P32" t="s">
        <v>899</v>
      </c>
    </row>
    <row r="33" spans="1:16">
      <c r="A33" t="s">
        <v>47</v>
      </c>
      <c r="B33">
        <v>15</v>
      </c>
      <c r="C33">
        <v>15</v>
      </c>
      <c r="D33" t="s">
        <v>341</v>
      </c>
      <c r="E33" t="s">
        <v>601</v>
      </c>
      <c r="F33">
        <v>96260</v>
      </c>
      <c r="G33" t="s">
        <v>607</v>
      </c>
      <c r="H33">
        <f>F33-K33</f>
        <v>0</v>
      </c>
      <c r="I33" t="s">
        <v>640</v>
      </c>
      <c r="J33" t="s">
        <v>602</v>
      </c>
      <c r="K33">
        <v>76391</v>
      </c>
      <c r="L33" t="s">
        <v>899</v>
      </c>
      <c r="M33" t="s">
        <v>931</v>
      </c>
      <c r="N33" t="s">
        <v>605</v>
      </c>
      <c r="O33">
        <v>39414</v>
      </c>
      <c r="P33" t="s">
        <v>899</v>
      </c>
    </row>
    <row r="34" spans="1:16">
      <c r="A34" t="s">
        <v>48</v>
      </c>
      <c r="B34">
        <v>15</v>
      </c>
      <c r="C34">
        <v>15</v>
      </c>
      <c r="D34" t="s">
        <v>342</v>
      </c>
      <c r="E34" t="s">
        <v>601</v>
      </c>
      <c r="F34">
        <v>115529</v>
      </c>
      <c r="G34" t="s">
        <v>607</v>
      </c>
      <c r="H34">
        <f>F34-K34</f>
        <v>0</v>
      </c>
      <c r="I34" t="s">
        <v>641</v>
      </c>
      <c r="J34" t="s">
        <v>602</v>
      </c>
      <c r="K34">
        <v>103168</v>
      </c>
      <c r="L34" t="s">
        <v>899</v>
      </c>
      <c r="M34" t="s">
        <v>932</v>
      </c>
      <c r="N34" t="s">
        <v>603</v>
      </c>
      <c r="O34">
        <v>9587</v>
      </c>
      <c r="P34" t="s">
        <v>899</v>
      </c>
    </row>
    <row r="35" spans="1:16">
      <c r="A35" t="s">
        <v>49</v>
      </c>
      <c r="B35">
        <v>19</v>
      </c>
      <c r="C35">
        <v>19</v>
      </c>
      <c r="D35" t="s">
        <v>343</v>
      </c>
      <c r="E35" t="s">
        <v>601</v>
      </c>
      <c r="F35">
        <v>158349</v>
      </c>
      <c r="G35" t="s">
        <v>607</v>
      </c>
      <c r="H35">
        <f>F35-K35</f>
        <v>0</v>
      </c>
      <c r="I35" t="s">
        <v>642</v>
      </c>
      <c r="J35" t="s">
        <v>602</v>
      </c>
      <c r="K35">
        <v>81924</v>
      </c>
      <c r="L35" t="s">
        <v>899</v>
      </c>
      <c r="M35" t="s">
        <v>933</v>
      </c>
      <c r="N35" t="s">
        <v>605</v>
      </c>
      <c r="O35">
        <v>5779</v>
      </c>
      <c r="P35" t="s">
        <v>899</v>
      </c>
    </row>
    <row r="36" spans="1:16">
      <c r="A36" t="s">
        <v>50</v>
      </c>
      <c r="B36">
        <v>14</v>
      </c>
      <c r="C36">
        <v>14</v>
      </c>
      <c r="D36" t="s">
        <v>344</v>
      </c>
      <c r="E36" t="s">
        <v>601</v>
      </c>
      <c r="F36">
        <v>105561</v>
      </c>
      <c r="G36" t="s">
        <v>607</v>
      </c>
      <c r="H36">
        <f>F36-K36</f>
        <v>0</v>
      </c>
      <c r="I36" t="s">
        <v>643</v>
      </c>
      <c r="J36" t="s">
        <v>602</v>
      </c>
      <c r="K36">
        <v>46920</v>
      </c>
      <c r="L36" t="s">
        <v>899</v>
      </c>
      <c r="M36" t="s">
        <v>934</v>
      </c>
      <c r="N36" t="s">
        <v>603</v>
      </c>
      <c r="O36">
        <v>4386</v>
      </c>
      <c r="P36" t="s">
        <v>899</v>
      </c>
    </row>
    <row r="37" spans="1:16">
      <c r="A37" t="s">
        <v>51</v>
      </c>
      <c r="B37">
        <v>15</v>
      </c>
      <c r="C37">
        <v>15</v>
      </c>
      <c r="D37" t="s">
        <v>345</v>
      </c>
      <c r="E37" t="s">
        <v>602</v>
      </c>
      <c r="F37">
        <v>98172</v>
      </c>
      <c r="G37" t="s">
        <v>607</v>
      </c>
      <c r="H37">
        <f>F37-K37</f>
        <v>0</v>
      </c>
      <c r="I37" t="s">
        <v>644</v>
      </c>
      <c r="J37" t="s">
        <v>601</v>
      </c>
      <c r="K37">
        <v>70294</v>
      </c>
      <c r="L37" t="s">
        <v>899</v>
      </c>
      <c r="M37" t="s">
        <v>935</v>
      </c>
      <c r="N37" t="s">
        <v>603</v>
      </c>
      <c r="O37">
        <v>28045</v>
      </c>
      <c r="P37" t="s">
        <v>899</v>
      </c>
    </row>
    <row r="38" spans="1:16">
      <c r="A38" t="s">
        <v>52</v>
      </c>
      <c r="B38">
        <v>18</v>
      </c>
      <c r="C38">
        <v>18</v>
      </c>
      <c r="D38" t="s">
        <v>346</v>
      </c>
      <c r="E38" t="s">
        <v>601</v>
      </c>
      <c r="F38">
        <v>96477</v>
      </c>
      <c r="G38" t="s">
        <v>607</v>
      </c>
      <c r="H38">
        <f>F38-K38</f>
        <v>0</v>
      </c>
      <c r="I38" t="s">
        <v>645</v>
      </c>
      <c r="J38" t="s">
        <v>602</v>
      </c>
      <c r="K38">
        <v>87840</v>
      </c>
      <c r="L38" t="s">
        <v>899</v>
      </c>
      <c r="M38" t="s">
        <v>936</v>
      </c>
      <c r="N38" t="s">
        <v>1193</v>
      </c>
      <c r="O38">
        <v>6840</v>
      </c>
      <c r="P38" t="s">
        <v>899</v>
      </c>
    </row>
    <row r="39" spans="1:16">
      <c r="A39" t="s">
        <v>53</v>
      </c>
      <c r="B39">
        <v>17</v>
      </c>
      <c r="C39">
        <v>17</v>
      </c>
      <c r="D39" t="s">
        <v>347</v>
      </c>
      <c r="E39" t="s">
        <v>602</v>
      </c>
      <c r="F39">
        <v>82791</v>
      </c>
      <c r="G39" t="s">
        <v>607</v>
      </c>
      <c r="H39">
        <f>F39-K39</f>
        <v>0</v>
      </c>
      <c r="I39" t="s">
        <v>646</v>
      </c>
      <c r="J39" t="s">
        <v>601</v>
      </c>
      <c r="K39">
        <v>76106</v>
      </c>
      <c r="L39" t="s">
        <v>899</v>
      </c>
      <c r="M39" t="s">
        <v>937</v>
      </c>
      <c r="N39" t="s">
        <v>605</v>
      </c>
      <c r="O39">
        <v>10149</v>
      </c>
      <c r="P39" t="s">
        <v>899</v>
      </c>
    </row>
    <row r="40" spans="1:16">
      <c r="A40" t="s">
        <v>54</v>
      </c>
      <c r="B40">
        <v>16</v>
      </c>
      <c r="C40">
        <v>16</v>
      </c>
      <c r="D40" t="s">
        <v>348</v>
      </c>
      <c r="E40" t="s">
        <v>601</v>
      </c>
      <c r="F40">
        <v>95697</v>
      </c>
      <c r="G40" t="s">
        <v>607</v>
      </c>
      <c r="H40">
        <f>F40-K40</f>
        <v>0</v>
      </c>
      <c r="I40" t="s">
        <v>647</v>
      </c>
      <c r="J40" t="s">
        <v>602</v>
      </c>
      <c r="K40">
        <v>48121</v>
      </c>
      <c r="L40" t="s">
        <v>899</v>
      </c>
      <c r="M40" t="s">
        <v>938</v>
      </c>
      <c r="N40" t="s">
        <v>1193</v>
      </c>
      <c r="O40">
        <v>8593</v>
      </c>
      <c r="P40" t="s">
        <v>899</v>
      </c>
    </row>
    <row r="41" spans="1:16">
      <c r="A41" t="s">
        <v>55</v>
      </c>
      <c r="B41">
        <v>17</v>
      </c>
      <c r="C41">
        <v>17</v>
      </c>
      <c r="D41" t="s">
        <v>349</v>
      </c>
      <c r="E41" t="s">
        <v>601</v>
      </c>
      <c r="F41">
        <v>105780</v>
      </c>
      <c r="G41" t="s">
        <v>607</v>
      </c>
      <c r="H41">
        <f>F41-K41</f>
        <v>0</v>
      </c>
      <c r="I41" t="s">
        <v>648</v>
      </c>
      <c r="J41" t="s">
        <v>602</v>
      </c>
      <c r="K41">
        <v>68793</v>
      </c>
      <c r="L41" t="s">
        <v>899</v>
      </c>
      <c r="M41" t="s">
        <v>939</v>
      </c>
      <c r="N41" t="s">
        <v>1193</v>
      </c>
      <c r="O41">
        <v>5940</v>
      </c>
      <c r="P41" t="s">
        <v>899</v>
      </c>
    </row>
    <row r="42" spans="1:16">
      <c r="A42" t="s">
        <v>56</v>
      </c>
      <c r="B42">
        <v>18</v>
      </c>
      <c r="C42">
        <v>18</v>
      </c>
      <c r="D42" t="s">
        <v>350</v>
      </c>
      <c r="E42" t="s">
        <v>601</v>
      </c>
      <c r="F42">
        <v>105083</v>
      </c>
      <c r="G42" t="s">
        <v>607</v>
      </c>
      <c r="H42">
        <f>F42-K42</f>
        <v>0</v>
      </c>
      <c r="I42" t="s">
        <v>649</v>
      </c>
      <c r="J42" t="s">
        <v>602</v>
      </c>
      <c r="K42">
        <v>76744</v>
      </c>
      <c r="L42" t="s">
        <v>899</v>
      </c>
      <c r="M42" t="s">
        <v>940</v>
      </c>
      <c r="N42" t="s">
        <v>605</v>
      </c>
      <c r="O42">
        <v>5991</v>
      </c>
      <c r="P42" t="s">
        <v>899</v>
      </c>
    </row>
    <row r="43" spans="1:16">
      <c r="A43" t="s">
        <v>57</v>
      </c>
      <c r="B43">
        <v>18</v>
      </c>
      <c r="C43">
        <v>18</v>
      </c>
      <c r="D43" t="s">
        <v>351</v>
      </c>
      <c r="E43" t="s">
        <v>602</v>
      </c>
      <c r="F43">
        <v>93098</v>
      </c>
      <c r="G43" t="s">
        <v>607</v>
      </c>
      <c r="H43">
        <f>F43-K43</f>
        <v>0</v>
      </c>
      <c r="I43" t="s">
        <v>650</v>
      </c>
      <c r="J43" t="s">
        <v>601</v>
      </c>
      <c r="K43">
        <v>91112</v>
      </c>
      <c r="L43" t="s">
        <v>899</v>
      </c>
      <c r="M43" t="s">
        <v>941</v>
      </c>
      <c r="N43" t="s">
        <v>603</v>
      </c>
      <c r="O43">
        <v>8462</v>
      </c>
      <c r="P43" t="s">
        <v>899</v>
      </c>
    </row>
    <row r="44" spans="1:16">
      <c r="A44" t="s">
        <v>58</v>
      </c>
      <c r="B44">
        <v>20</v>
      </c>
      <c r="C44">
        <v>20</v>
      </c>
      <c r="D44" t="s">
        <v>352</v>
      </c>
      <c r="E44" t="s">
        <v>601</v>
      </c>
      <c r="F44">
        <v>142062</v>
      </c>
      <c r="G44" t="s">
        <v>607</v>
      </c>
      <c r="H44">
        <f>F44-K44</f>
        <v>0</v>
      </c>
      <c r="I44" t="s">
        <v>651</v>
      </c>
      <c r="J44" t="s">
        <v>602</v>
      </c>
      <c r="K44">
        <v>63874</v>
      </c>
      <c r="L44" t="s">
        <v>899</v>
      </c>
      <c r="M44" t="s">
        <v>942</v>
      </c>
      <c r="N44" t="s">
        <v>605</v>
      </c>
      <c r="O44">
        <v>8725</v>
      </c>
      <c r="P44" t="s">
        <v>899</v>
      </c>
    </row>
    <row r="45" spans="1:16">
      <c r="A45" t="s">
        <v>59</v>
      </c>
      <c r="B45">
        <v>21</v>
      </c>
      <c r="C45">
        <v>21</v>
      </c>
      <c r="D45" t="s">
        <v>353</v>
      </c>
      <c r="E45" t="s">
        <v>601</v>
      </c>
      <c r="F45">
        <v>131541</v>
      </c>
      <c r="G45" t="s">
        <v>607</v>
      </c>
      <c r="H45">
        <f>F45-K45</f>
        <v>0</v>
      </c>
      <c r="I45" t="s">
        <v>652</v>
      </c>
      <c r="J45" t="s">
        <v>602</v>
      </c>
      <c r="K45">
        <v>93349</v>
      </c>
      <c r="L45" t="s">
        <v>899</v>
      </c>
      <c r="M45" t="s">
        <v>943</v>
      </c>
      <c r="N45" t="s">
        <v>605</v>
      </c>
      <c r="O45">
        <v>5949</v>
      </c>
      <c r="P45" t="s">
        <v>899</v>
      </c>
    </row>
    <row r="46" spans="1:16">
      <c r="A46" t="s">
        <v>60</v>
      </c>
      <c r="B46">
        <v>22</v>
      </c>
      <c r="C46">
        <v>22</v>
      </c>
      <c r="D46" t="s">
        <v>354</v>
      </c>
      <c r="E46" t="s">
        <v>602</v>
      </c>
      <c r="F46">
        <v>128014</v>
      </c>
      <c r="G46" t="s">
        <v>607</v>
      </c>
      <c r="H46">
        <f>F46-K46</f>
        <v>0</v>
      </c>
      <c r="I46" t="s">
        <v>653</v>
      </c>
      <c r="J46" t="s">
        <v>601</v>
      </c>
      <c r="K46">
        <v>64140</v>
      </c>
      <c r="L46" t="s">
        <v>899</v>
      </c>
      <c r="M46" t="s">
        <v>944</v>
      </c>
      <c r="N46" t="s">
        <v>603</v>
      </c>
      <c r="O46">
        <v>16336</v>
      </c>
      <c r="P46" t="s">
        <v>899</v>
      </c>
    </row>
    <row r="47" spans="1:16">
      <c r="A47" t="s">
        <v>61</v>
      </c>
      <c r="B47">
        <v>21</v>
      </c>
      <c r="C47">
        <v>21</v>
      </c>
      <c r="D47" t="s">
        <v>355</v>
      </c>
      <c r="E47" t="s">
        <v>602</v>
      </c>
      <c r="F47">
        <v>113104</v>
      </c>
      <c r="G47" t="s">
        <v>607</v>
      </c>
      <c r="H47">
        <f>F47-K47</f>
        <v>0</v>
      </c>
      <c r="I47" t="s">
        <v>653</v>
      </c>
      <c r="J47" t="s">
        <v>601</v>
      </c>
      <c r="K47">
        <v>64833</v>
      </c>
      <c r="L47" t="s">
        <v>899</v>
      </c>
      <c r="M47" t="s">
        <v>945</v>
      </c>
      <c r="N47" t="s">
        <v>603</v>
      </c>
      <c r="O47">
        <v>31431</v>
      </c>
      <c r="P47" t="s">
        <v>899</v>
      </c>
    </row>
    <row r="48" spans="1:16">
      <c r="A48" t="s">
        <v>62</v>
      </c>
      <c r="B48">
        <v>20</v>
      </c>
      <c r="C48">
        <v>20</v>
      </c>
      <c r="D48" t="s">
        <v>356</v>
      </c>
      <c r="E48" t="s">
        <v>602</v>
      </c>
      <c r="F48">
        <v>104123</v>
      </c>
      <c r="G48" t="s">
        <v>607</v>
      </c>
      <c r="H48">
        <f>F48-K48</f>
        <v>0</v>
      </c>
      <c r="I48" t="s">
        <v>654</v>
      </c>
      <c r="J48" t="s">
        <v>603</v>
      </c>
      <c r="K48">
        <v>44376</v>
      </c>
      <c r="L48" t="s">
        <v>899</v>
      </c>
      <c r="M48" t="s">
        <v>946</v>
      </c>
      <c r="N48" t="s">
        <v>601</v>
      </c>
      <c r="O48">
        <v>43346</v>
      </c>
      <c r="P48" t="s">
        <v>899</v>
      </c>
    </row>
    <row r="49" spans="1:16">
      <c r="A49" t="s">
        <v>63</v>
      </c>
      <c r="B49">
        <v>23</v>
      </c>
      <c r="C49">
        <v>23</v>
      </c>
      <c r="D49" t="s">
        <v>357</v>
      </c>
      <c r="E49" t="s">
        <v>602</v>
      </c>
      <c r="F49">
        <v>106834</v>
      </c>
      <c r="G49" t="s">
        <v>607</v>
      </c>
      <c r="H49">
        <f>F49-K49</f>
        <v>0</v>
      </c>
      <c r="I49" t="s">
        <v>655</v>
      </c>
      <c r="J49" t="s">
        <v>601</v>
      </c>
      <c r="K49">
        <v>74272</v>
      </c>
      <c r="L49" t="s">
        <v>899</v>
      </c>
      <c r="M49" t="s">
        <v>947</v>
      </c>
      <c r="N49" t="s">
        <v>603</v>
      </c>
      <c r="O49">
        <v>31525</v>
      </c>
      <c r="P49" t="s">
        <v>899</v>
      </c>
    </row>
    <row r="50" spans="1:16">
      <c r="A50" t="s">
        <v>64</v>
      </c>
      <c r="B50">
        <v>21</v>
      </c>
      <c r="C50">
        <v>21</v>
      </c>
      <c r="D50" t="s">
        <v>358</v>
      </c>
      <c r="E50" t="s">
        <v>601</v>
      </c>
      <c r="F50">
        <v>110118</v>
      </c>
      <c r="G50" t="s">
        <v>607</v>
      </c>
      <c r="H50">
        <f>F50-K50</f>
        <v>0</v>
      </c>
      <c r="I50" t="s">
        <v>656</v>
      </c>
      <c r="J50" t="s">
        <v>602</v>
      </c>
      <c r="K50">
        <v>96180</v>
      </c>
      <c r="L50" t="s">
        <v>899</v>
      </c>
      <c r="M50" t="s">
        <v>948</v>
      </c>
      <c r="N50" t="s">
        <v>603</v>
      </c>
      <c r="O50">
        <v>9201</v>
      </c>
      <c r="P50" t="s">
        <v>899</v>
      </c>
    </row>
    <row r="51" spans="1:16">
      <c r="A51" t="s">
        <v>65</v>
      </c>
      <c r="B51">
        <v>21</v>
      </c>
      <c r="C51">
        <v>21</v>
      </c>
      <c r="D51" t="s">
        <v>359</v>
      </c>
      <c r="E51" t="s">
        <v>601</v>
      </c>
      <c r="F51">
        <v>123656</v>
      </c>
      <c r="G51" t="s">
        <v>607</v>
      </c>
      <c r="H51">
        <f>F51-K51</f>
        <v>0</v>
      </c>
      <c r="I51" t="s">
        <v>657</v>
      </c>
      <c r="J51" t="s">
        <v>602</v>
      </c>
      <c r="K51">
        <v>73528</v>
      </c>
      <c r="L51" t="s">
        <v>899</v>
      </c>
      <c r="M51" t="s">
        <v>949</v>
      </c>
      <c r="N51" t="s">
        <v>603</v>
      </c>
      <c r="O51">
        <v>12977</v>
      </c>
      <c r="P51" t="s">
        <v>899</v>
      </c>
    </row>
    <row r="52" spans="1:16">
      <c r="A52" t="s">
        <v>66</v>
      </c>
      <c r="B52">
        <v>22</v>
      </c>
      <c r="C52">
        <v>22</v>
      </c>
      <c r="D52" t="s">
        <v>360</v>
      </c>
      <c r="E52" t="s">
        <v>601</v>
      </c>
      <c r="F52">
        <v>154096</v>
      </c>
      <c r="G52" t="s">
        <v>607</v>
      </c>
      <c r="H52">
        <f>F52-K52</f>
        <v>0</v>
      </c>
      <c r="I52" t="s">
        <v>658</v>
      </c>
      <c r="J52" t="s">
        <v>602</v>
      </c>
      <c r="K52">
        <v>60312</v>
      </c>
      <c r="L52" t="s">
        <v>899</v>
      </c>
      <c r="M52" t="s">
        <v>950</v>
      </c>
      <c r="N52" t="s">
        <v>605</v>
      </c>
      <c r="O52">
        <v>7122</v>
      </c>
      <c r="P52" t="s">
        <v>899</v>
      </c>
    </row>
    <row r="53" spans="1:16">
      <c r="A53" t="s">
        <v>67</v>
      </c>
      <c r="B53">
        <v>17</v>
      </c>
      <c r="C53">
        <v>17</v>
      </c>
      <c r="D53" t="s">
        <v>361</v>
      </c>
      <c r="E53" t="s">
        <v>602</v>
      </c>
      <c r="F53">
        <v>65705</v>
      </c>
      <c r="G53" t="s">
        <v>607</v>
      </c>
      <c r="H53">
        <f>F53-K53</f>
        <v>0</v>
      </c>
      <c r="I53" t="s">
        <v>659</v>
      </c>
      <c r="J53" t="s">
        <v>601</v>
      </c>
      <c r="K53">
        <v>55209</v>
      </c>
      <c r="L53" t="s">
        <v>899</v>
      </c>
      <c r="M53" t="s">
        <v>951</v>
      </c>
      <c r="N53" t="s">
        <v>603</v>
      </c>
      <c r="O53">
        <v>27451</v>
      </c>
      <c r="P53" t="s">
        <v>899</v>
      </c>
    </row>
    <row r="54" spans="1:16">
      <c r="A54" t="s">
        <v>68</v>
      </c>
      <c r="B54">
        <v>20</v>
      </c>
      <c r="C54">
        <v>20</v>
      </c>
      <c r="D54" t="s">
        <v>362</v>
      </c>
      <c r="E54" t="s">
        <v>602</v>
      </c>
      <c r="F54">
        <v>112795</v>
      </c>
      <c r="G54" t="s">
        <v>607</v>
      </c>
      <c r="H54">
        <f>F54-K54</f>
        <v>0</v>
      </c>
      <c r="I54" t="s">
        <v>660</v>
      </c>
      <c r="J54" t="s">
        <v>603</v>
      </c>
      <c r="K54">
        <v>52508</v>
      </c>
      <c r="L54" t="s">
        <v>899</v>
      </c>
      <c r="M54" t="s">
        <v>952</v>
      </c>
      <c r="N54" t="s">
        <v>606</v>
      </c>
      <c r="O54">
        <v>29026</v>
      </c>
      <c r="P54" t="s">
        <v>899</v>
      </c>
    </row>
    <row r="55" spans="1:16">
      <c r="A55" t="s">
        <v>69</v>
      </c>
      <c r="B55">
        <v>21</v>
      </c>
      <c r="C55">
        <v>21</v>
      </c>
      <c r="D55" t="s">
        <v>363</v>
      </c>
      <c r="E55" t="s">
        <v>601</v>
      </c>
      <c r="F55">
        <v>108692</v>
      </c>
      <c r="G55" t="s">
        <v>607</v>
      </c>
      <c r="H55">
        <f>F55-K55</f>
        <v>0</v>
      </c>
      <c r="I55" t="s">
        <v>661</v>
      </c>
      <c r="J55" t="s">
        <v>602</v>
      </c>
      <c r="K55">
        <v>61811</v>
      </c>
      <c r="L55" t="s">
        <v>899</v>
      </c>
      <c r="M55" t="s">
        <v>953</v>
      </c>
      <c r="N55" t="s">
        <v>603</v>
      </c>
      <c r="O55">
        <v>46450</v>
      </c>
      <c r="P55" t="s">
        <v>899</v>
      </c>
    </row>
    <row r="56" spans="1:16">
      <c r="A56" t="s">
        <v>70</v>
      </c>
      <c r="B56">
        <v>19</v>
      </c>
      <c r="C56">
        <v>19</v>
      </c>
      <c r="D56" t="s">
        <v>364</v>
      </c>
      <c r="E56" t="s">
        <v>603</v>
      </c>
      <c r="F56">
        <v>63050</v>
      </c>
      <c r="G56" t="s">
        <v>607</v>
      </c>
      <c r="H56">
        <f>F56-K56</f>
        <v>0</v>
      </c>
      <c r="I56" t="s">
        <v>662</v>
      </c>
      <c r="J56" t="s">
        <v>601</v>
      </c>
      <c r="K56">
        <v>54857</v>
      </c>
      <c r="L56" t="s">
        <v>899</v>
      </c>
      <c r="M56" t="s">
        <v>954</v>
      </c>
      <c r="N56" t="s">
        <v>602</v>
      </c>
      <c r="O56">
        <v>47256</v>
      </c>
      <c r="P56" t="s">
        <v>899</v>
      </c>
    </row>
    <row r="57" spans="1:16">
      <c r="A57" t="s">
        <v>71</v>
      </c>
      <c r="B57">
        <v>20</v>
      </c>
      <c r="C57">
        <v>20</v>
      </c>
      <c r="D57" t="s">
        <v>365</v>
      </c>
      <c r="E57" t="s">
        <v>602</v>
      </c>
      <c r="F57">
        <v>61918</v>
      </c>
      <c r="G57" t="s">
        <v>607</v>
      </c>
      <c r="H57">
        <f>F57-K57</f>
        <v>0</v>
      </c>
      <c r="I57" t="s">
        <v>663</v>
      </c>
      <c r="J57" t="s">
        <v>603</v>
      </c>
      <c r="K57">
        <v>54331</v>
      </c>
      <c r="L57" t="s">
        <v>899</v>
      </c>
      <c r="M57" t="s">
        <v>955</v>
      </c>
      <c r="N57" t="s">
        <v>601</v>
      </c>
      <c r="O57">
        <v>34522</v>
      </c>
      <c r="P57" t="s">
        <v>899</v>
      </c>
    </row>
    <row r="58" spans="1:16">
      <c r="A58" t="s">
        <v>72</v>
      </c>
      <c r="B58">
        <v>21</v>
      </c>
      <c r="C58">
        <v>21</v>
      </c>
      <c r="D58" t="s">
        <v>366</v>
      </c>
      <c r="E58" t="s">
        <v>602</v>
      </c>
      <c r="F58">
        <v>81330</v>
      </c>
      <c r="G58" t="s">
        <v>607</v>
      </c>
      <c r="H58">
        <f>F58-K58</f>
        <v>0</v>
      </c>
      <c r="I58" t="s">
        <v>664</v>
      </c>
      <c r="J58" t="s">
        <v>601</v>
      </c>
      <c r="K58">
        <v>68973</v>
      </c>
      <c r="L58" t="s">
        <v>899</v>
      </c>
      <c r="M58" t="s">
        <v>956</v>
      </c>
      <c r="N58" t="s">
        <v>603</v>
      </c>
      <c r="O58">
        <v>61344</v>
      </c>
      <c r="P58" t="s">
        <v>899</v>
      </c>
    </row>
    <row r="59" spans="1:16">
      <c r="A59" t="s">
        <v>73</v>
      </c>
      <c r="B59">
        <v>21</v>
      </c>
      <c r="C59">
        <v>21</v>
      </c>
      <c r="D59" t="s">
        <v>367</v>
      </c>
      <c r="E59" t="s">
        <v>601</v>
      </c>
      <c r="F59">
        <v>91201</v>
      </c>
      <c r="G59" t="s">
        <v>607</v>
      </c>
      <c r="H59">
        <f>F59-K59</f>
        <v>0</v>
      </c>
      <c r="I59" t="s">
        <v>665</v>
      </c>
      <c r="J59" t="s">
        <v>602</v>
      </c>
      <c r="K59">
        <v>80659</v>
      </c>
      <c r="L59" t="s">
        <v>899</v>
      </c>
      <c r="M59" t="s">
        <v>957</v>
      </c>
      <c r="N59" t="s">
        <v>603</v>
      </c>
      <c r="O59">
        <v>31228</v>
      </c>
      <c r="P59" t="s">
        <v>899</v>
      </c>
    </row>
    <row r="60" spans="1:16">
      <c r="A60" t="s">
        <v>74</v>
      </c>
      <c r="B60">
        <v>21</v>
      </c>
      <c r="C60">
        <v>21</v>
      </c>
      <c r="D60" t="s">
        <v>368</v>
      </c>
      <c r="E60" t="s">
        <v>602</v>
      </c>
      <c r="F60">
        <v>88909</v>
      </c>
      <c r="G60" t="s">
        <v>607</v>
      </c>
      <c r="H60">
        <f>F60-K60</f>
        <v>0</v>
      </c>
      <c r="I60" t="s">
        <v>666</v>
      </c>
      <c r="J60" t="s">
        <v>603</v>
      </c>
      <c r="K60">
        <v>48354</v>
      </c>
      <c r="L60" t="s">
        <v>899</v>
      </c>
      <c r="M60" t="s">
        <v>958</v>
      </c>
      <c r="N60" t="s">
        <v>601</v>
      </c>
      <c r="O60">
        <v>35184</v>
      </c>
      <c r="P60" t="s">
        <v>899</v>
      </c>
    </row>
    <row r="61" spans="1:16">
      <c r="A61" t="s">
        <v>75</v>
      </c>
      <c r="B61">
        <v>19</v>
      </c>
      <c r="C61">
        <v>19</v>
      </c>
      <c r="D61" t="s">
        <v>369</v>
      </c>
      <c r="E61" t="s">
        <v>602</v>
      </c>
      <c r="F61">
        <v>90781</v>
      </c>
      <c r="G61" t="s">
        <v>607</v>
      </c>
      <c r="H61">
        <f>F61-K61</f>
        <v>0</v>
      </c>
      <c r="I61" t="s">
        <v>667</v>
      </c>
      <c r="J61" t="s">
        <v>601</v>
      </c>
      <c r="K61">
        <v>56521</v>
      </c>
      <c r="L61" t="s">
        <v>899</v>
      </c>
      <c r="M61" t="s">
        <v>959</v>
      </c>
      <c r="N61" t="s">
        <v>1195</v>
      </c>
      <c r="O61">
        <v>42495</v>
      </c>
      <c r="P61" t="s">
        <v>899</v>
      </c>
    </row>
    <row r="62" spans="1:16">
      <c r="A62" t="s">
        <v>76</v>
      </c>
      <c r="B62">
        <v>20</v>
      </c>
      <c r="C62">
        <v>20</v>
      </c>
      <c r="D62" t="s">
        <v>370</v>
      </c>
      <c r="E62" t="s">
        <v>602</v>
      </c>
      <c r="F62">
        <v>67954</v>
      </c>
      <c r="G62" t="s">
        <v>607</v>
      </c>
      <c r="H62">
        <f>F62-K62</f>
        <v>0</v>
      </c>
      <c r="I62" t="s">
        <v>668</v>
      </c>
      <c r="J62" t="s">
        <v>603</v>
      </c>
      <c r="K62">
        <v>48994</v>
      </c>
      <c r="L62" t="s">
        <v>899</v>
      </c>
      <c r="M62" t="s">
        <v>960</v>
      </c>
      <c r="N62" t="s">
        <v>601</v>
      </c>
      <c r="O62">
        <v>35496</v>
      </c>
      <c r="P62" t="s">
        <v>899</v>
      </c>
    </row>
    <row r="63" spans="1:16">
      <c r="A63" t="s">
        <v>77</v>
      </c>
      <c r="B63">
        <v>21</v>
      </c>
      <c r="C63">
        <v>21</v>
      </c>
      <c r="D63" t="s">
        <v>371</v>
      </c>
      <c r="E63" t="s">
        <v>602</v>
      </c>
      <c r="F63">
        <v>105997</v>
      </c>
      <c r="G63" t="s">
        <v>607</v>
      </c>
      <c r="H63">
        <f>F63-K63</f>
        <v>0</v>
      </c>
      <c r="I63" t="s">
        <v>669</v>
      </c>
      <c r="J63" t="s">
        <v>605</v>
      </c>
      <c r="K63">
        <v>49590</v>
      </c>
      <c r="L63" t="s">
        <v>899</v>
      </c>
      <c r="M63" t="s">
        <v>961</v>
      </c>
      <c r="N63" t="s">
        <v>603</v>
      </c>
      <c r="O63">
        <v>29440</v>
      </c>
      <c r="P63" t="s">
        <v>899</v>
      </c>
    </row>
    <row r="64" spans="1:16">
      <c r="A64" t="s">
        <v>78</v>
      </c>
      <c r="B64">
        <v>16</v>
      </c>
      <c r="C64">
        <v>16</v>
      </c>
      <c r="D64" t="s">
        <v>372</v>
      </c>
      <c r="E64" t="s">
        <v>603</v>
      </c>
      <c r="F64">
        <v>79423</v>
      </c>
      <c r="G64" t="s">
        <v>607</v>
      </c>
      <c r="H64">
        <f>F64-K64</f>
        <v>0</v>
      </c>
      <c r="I64" t="s">
        <v>670</v>
      </c>
      <c r="J64" t="s">
        <v>602</v>
      </c>
      <c r="K64">
        <v>76722</v>
      </c>
      <c r="L64" t="s">
        <v>899</v>
      </c>
      <c r="M64" t="s">
        <v>962</v>
      </c>
      <c r="N64" t="s">
        <v>605</v>
      </c>
      <c r="O64">
        <v>48587</v>
      </c>
      <c r="P64" t="s">
        <v>899</v>
      </c>
    </row>
    <row r="65" spans="1:16">
      <c r="A65" t="s">
        <v>79</v>
      </c>
      <c r="B65">
        <v>23</v>
      </c>
      <c r="C65">
        <v>23</v>
      </c>
      <c r="D65" t="s">
        <v>373</v>
      </c>
      <c r="E65" t="s">
        <v>601</v>
      </c>
      <c r="F65">
        <v>114443</v>
      </c>
      <c r="G65" t="s">
        <v>607</v>
      </c>
      <c r="H65">
        <f>F65-K65</f>
        <v>0</v>
      </c>
      <c r="I65" t="s">
        <v>671</v>
      </c>
      <c r="J65" t="s">
        <v>602</v>
      </c>
      <c r="K65">
        <v>82922</v>
      </c>
      <c r="L65" t="s">
        <v>899</v>
      </c>
      <c r="M65" t="s">
        <v>963</v>
      </c>
      <c r="N65" t="s">
        <v>603</v>
      </c>
      <c r="O65">
        <v>16124</v>
      </c>
      <c r="P65" t="s">
        <v>899</v>
      </c>
    </row>
    <row r="66" spans="1:16">
      <c r="A66" t="s">
        <v>80</v>
      </c>
      <c r="B66">
        <v>25</v>
      </c>
      <c r="C66">
        <v>25</v>
      </c>
      <c r="D66" t="s">
        <v>374</v>
      </c>
      <c r="E66" t="s">
        <v>601</v>
      </c>
      <c r="F66">
        <v>78739</v>
      </c>
      <c r="G66" t="s">
        <v>607</v>
      </c>
      <c r="H66">
        <f>F66-K66</f>
        <v>0</v>
      </c>
      <c r="I66" t="s">
        <v>672</v>
      </c>
      <c r="J66" t="s">
        <v>602</v>
      </c>
      <c r="K66">
        <v>72820</v>
      </c>
      <c r="L66" t="s">
        <v>899</v>
      </c>
      <c r="M66" t="s">
        <v>964</v>
      </c>
      <c r="N66" t="s">
        <v>603</v>
      </c>
      <c r="O66">
        <v>50144</v>
      </c>
      <c r="P66" t="s">
        <v>899</v>
      </c>
    </row>
    <row r="67" spans="1:16">
      <c r="A67" t="s">
        <v>81</v>
      </c>
      <c r="B67">
        <v>15</v>
      </c>
      <c r="C67">
        <v>15</v>
      </c>
      <c r="D67" t="s">
        <v>375</v>
      </c>
      <c r="E67" t="s">
        <v>601</v>
      </c>
      <c r="F67">
        <v>77748</v>
      </c>
      <c r="G67" t="s">
        <v>607</v>
      </c>
      <c r="H67">
        <f>F67-K67</f>
        <v>0</v>
      </c>
      <c r="I67" t="s">
        <v>673</v>
      </c>
      <c r="J67" t="s">
        <v>602</v>
      </c>
      <c r="K67">
        <v>68415</v>
      </c>
      <c r="L67" t="s">
        <v>899</v>
      </c>
      <c r="M67" t="s">
        <v>965</v>
      </c>
      <c r="N67" t="s">
        <v>605</v>
      </c>
      <c r="O67">
        <v>41944</v>
      </c>
      <c r="P67" t="s">
        <v>899</v>
      </c>
    </row>
    <row r="68" spans="1:16">
      <c r="A68" t="s">
        <v>82</v>
      </c>
      <c r="B68">
        <v>13</v>
      </c>
      <c r="C68">
        <v>13</v>
      </c>
      <c r="D68" t="s">
        <v>376</v>
      </c>
      <c r="E68" t="s">
        <v>601</v>
      </c>
      <c r="F68">
        <v>91661</v>
      </c>
      <c r="G68" t="s">
        <v>607</v>
      </c>
      <c r="H68">
        <f>F68-K68</f>
        <v>0</v>
      </c>
      <c r="I68" t="s">
        <v>674</v>
      </c>
      <c r="J68" t="s">
        <v>602</v>
      </c>
      <c r="K68">
        <v>69361</v>
      </c>
      <c r="L68" t="s">
        <v>899</v>
      </c>
      <c r="M68" t="s">
        <v>966</v>
      </c>
      <c r="N68" t="s">
        <v>603</v>
      </c>
      <c r="O68">
        <v>18440</v>
      </c>
      <c r="P68" t="s">
        <v>899</v>
      </c>
    </row>
    <row r="69" spans="1:16">
      <c r="A69" t="s">
        <v>83</v>
      </c>
      <c r="B69">
        <v>14</v>
      </c>
      <c r="C69">
        <v>14</v>
      </c>
      <c r="D69" t="s">
        <v>377</v>
      </c>
      <c r="E69" t="s">
        <v>601</v>
      </c>
      <c r="F69">
        <v>73355</v>
      </c>
      <c r="G69" t="s">
        <v>607</v>
      </c>
      <c r="H69">
        <f>F69-K69</f>
        <v>0</v>
      </c>
      <c r="I69" t="s">
        <v>675</v>
      </c>
      <c r="J69" t="s">
        <v>602</v>
      </c>
      <c r="K69">
        <v>63020</v>
      </c>
      <c r="L69" t="s">
        <v>899</v>
      </c>
      <c r="M69" t="s">
        <v>967</v>
      </c>
      <c r="N69" t="s">
        <v>603</v>
      </c>
      <c r="O69">
        <v>31160</v>
      </c>
      <c r="P69" t="s">
        <v>899</v>
      </c>
    </row>
    <row r="70" spans="1:16">
      <c r="A70" t="s">
        <v>84</v>
      </c>
      <c r="B70">
        <v>14</v>
      </c>
      <c r="C70">
        <v>14</v>
      </c>
      <c r="D70" t="s">
        <v>378</v>
      </c>
      <c r="E70" t="s">
        <v>602</v>
      </c>
      <c r="F70">
        <v>90870</v>
      </c>
      <c r="G70" t="s">
        <v>607</v>
      </c>
      <c r="H70">
        <f>F70-K70</f>
        <v>0</v>
      </c>
      <c r="I70" t="s">
        <v>676</v>
      </c>
      <c r="J70" t="s">
        <v>601</v>
      </c>
      <c r="K70">
        <v>60117</v>
      </c>
      <c r="L70" t="s">
        <v>899</v>
      </c>
      <c r="M70" t="s">
        <v>968</v>
      </c>
      <c r="N70" t="s">
        <v>603</v>
      </c>
      <c r="O70">
        <v>51321</v>
      </c>
      <c r="P70" t="s">
        <v>899</v>
      </c>
    </row>
    <row r="71" spans="1:16">
      <c r="A71" t="s">
        <v>85</v>
      </c>
      <c r="B71">
        <v>15</v>
      </c>
      <c r="C71">
        <v>15</v>
      </c>
      <c r="D71" t="s">
        <v>379</v>
      </c>
      <c r="E71" t="s">
        <v>604</v>
      </c>
      <c r="F71">
        <v>123536</v>
      </c>
      <c r="G71" t="s">
        <v>607</v>
      </c>
      <c r="H71">
        <f>F71-K71</f>
        <v>0</v>
      </c>
      <c r="I71" t="s">
        <v>677</v>
      </c>
      <c r="J71" t="s">
        <v>601</v>
      </c>
      <c r="K71">
        <v>64660</v>
      </c>
      <c r="L71" t="s">
        <v>899</v>
      </c>
      <c r="M71" t="s">
        <v>969</v>
      </c>
      <c r="N71" t="s">
        <v>602</v>
      </c>
      <c r="O71">
        <v>41718</v>
      </c>
      <c r="P71" t="s">
        <v>899</v>
      </c>
    </row>
    <row r="72" spans="1:16">
      <c r="A72" t="s">
        <v>86</v>
      </c>
      <c r="B72">
        <v>16</v>
      </c>
      <c r="C72">
        <v>16</v>
      </c>
      <c r="D72" t="s">
        <v>380</v>
      </c>
      <c r="E72" t="s">
        <v>601</v>
      </c>
      <c r="F72">
        <v>72872</v>
      </c>
      <c r="G72" t="s">
        <v>607</v>
      </c>
      <c r="H72">
        <f>F72-K72</f>
        <v>0</v>
      </c>
      <c r="I72" t="s">
        <v>678</v>
      </c>
      <c r="J72" t="s">
        <v>602</v>
      </c>
      <c r="K72">
        <v>59664</v>
      </c>
      <c r="L72" t="s">
        <v>899</v>
      </c>
      <c r="M72" t="s">
        <v>970</v>
      </c>
      <c r="N72" t="s">
        <v>604</v>
      </c>
      <c r="O72">
        <v>46709</v>
      </c>
      <c r="P72" t="s">
        <v>899</v>
      </c>
    </row>
    <row r="73" spans="1:16">
      <c r="A73" t="s">
        <v>87</v>
      </c>
      <c r="B73">
        <v>17</v>
      </c>
      <c r="C73">
        <v>17</v>
      </c>
      <c r="D73" t="s">
        <v>381</v>
      </c>
      <c r="E73" t="s">
        <v>601</v>
      </c>
      <c r="F73">
        <v>91088</v>
      </c>
      <c r="G73" t="s">
        <v>607</v>
      </c>
      <c r="H73">
        <f>F73-K73</f>
        <v>0</v>
      </c>
      <c r="I73" t="s">
        <v>679</v>
      </c>
      <c r="J73" t="s">
        <v>603</v>
      </c>
      <c r="K73">
        <v>73540</v>
      </c>
      <c r="L73" t="s">
        <v>899</v>
      </c>
      <c r="M73" t="s">
        <v>971</v>
      </c>
      <c r="N73" t="s">
        <v>602</v>
      </c>
      <c r="O73">
        <v>49586</v>
      </c>
      <c r="P73" t="s">
        <v>899</v>
      </c>
    </row>
    <row r="74" spans="1:16">
      <c r="A74" t="s">
        <v>88</v>
      </c>
      <c r="B74">
        <v>22</v>
      </c>
      <c r="C74">
        <v>22</v>
      </c>
      <c r="D74" t="s">
        <v>382</v>
      </c>
      <c r="E74" t="s">
        <v>602</v>
      </c>
      <c r="F74">
        <v>80338</v>
      </c>
      <c r="G74" t="s">
        <v>607</v>
      </c>
      <c r="H74">
        <f>F74-K74</f>
        <v>0</v>
      </c>
      <c r="I74" t="s">
        <v>680</v>
      </c>
      <c r="J74" t="s">
        <v>604</v>
      </c>
      <c r="K74">
        <v>67673</v>
      </c>
      <c r="L74" t="s">
        <v>899</v>
      </c>
      <c r="M74" t="s">
        <v>972</v>
      </c>
      <c r="N74" t="s">
        <v>601</v>
      </c>
      <c r="O74">
        <v>32057</v>
      </c>
      <c r="P74" t="s">
        <v>899</v>
      </c>
    </row>
    <row r="75" spans="1:16">
      <c r="A75" t="s">
        <v>89</v>
      </c>
      <c r="B75">
        <v>21</v>
      </c>
      <c r="C75">
        <v>21</v>
      </c>
      <c r="D75" t="s">
        <v>379</v>
      </c>
      <c r="E75" t="s">
        <v>604</v>
      </c>
      <c r="F75">
        <v>86463</v>
      </c>
      <c r="G75" t="s">
        <v>607</v>
      </c>
      <c r="H75">
        <f>F75-K75</f>
        <v>0</v>
      </c>
      <c r="I75" t="s">
        <v>681</v>
      </c>
      <c r="J75" t="s">
        <v>601</v>
      </c>
      <c r="K75">
        <v>58520</v>
      </c>
      <c r="L75" t="s">
        <v>899</v>
      </c>
      <c r="M75" t="s">
        <v>973</v>
      </c>
      <c r="N75" t="s">
        <v>602</v>
      </c>
      <c r="O75">
        <v>51867</v>
      </c>
      <c r="P75" t="s">
        <v>899</v>
      </c>
    </row>
    <row r="76" spans="1:16">
      <c r="A76" t="s">
        <v>90</v>
      </c>
      <c r="B76">
        <v>18</v>
      </c>
      <c r="C76">
        <v>18</v>
      </c>
      <c r="D76" t="s">
        <v>383</v>
      </c>
      <c r="E76" t="s">
        <v>605</v>
      </c>
      <c r="F76">
        <v>107882</v>
      </c>
      <c r="G76" t="s">
        <v>607</v>
      </c>
      <c r="H76">
        <f>F76-K76</f>
        <v>0</v>
      </c>
      <c r="I76" t="s">
        <v>379</v>
      </c>
      <c r="J76" t="s">
        <v>602</v>
      </c>
      <c r="K76">
        <v>91586</v>
      </c>
      <c r="L76" t="s">
        <v>899</v>
      </c>
      <c r="M76" t="s">
        <v>974</v>
      </c>
      <c r="N76" t="s">
        <v>603</v>
      </c>
      <c r="O76">
        <v>30453</v>
      </c>
      <c r="P76" t="s">
        <v>899</v>
      </c>
    </row>
    <row r="77" spans="1:16">
      <c r="A77" t="s">
        <v>91</v>
      </c>
      <c r="B77">
        <v>18</v>
      </c>
      <c r="C77">
        <v>18</v>
      </c>
      <c r="D77" t="s">
        <v>384</v>
      </c>
      <c r="E77" t="s">
        <v>602</v>
      </c>
      <c r="F77">
        <v>88684</v>
      </c>
      <c r="G77" t="s">
        <v>607</v>
      </c>
      <c r="H77">
        <f>F77-K77</f>
        <v>0</v>
      </c>
      <c r="I77" t="s">
        <v>682</v>
      </c>
      <c r="J77" t="s">
        <v>605</v>
      </c>
      <c r="K77">
        <v>67168</v>
      </c>
      <c r="L77" t="s">
        <v>899</v>
      </c>
      <c r="M77" t="s">
        <v>975</v>
      </c>
      <c r="N77" t="s">
        <v>601</v>
      </c>
      <c r="O77">
        <v>51693</v>
      </c>
      <c r="P77" t="s">
        <v>899</v>
      </c>
    </row>
    <row r="78" spans="1:16">
      <c r="A78" t="s">
        <v>92</v>
      </c>
      <c r="B78">
        <v>23</v>
      </c>
      <c r="C78">
        <v>23</v>
      </c>
      <c r="D78" t="s">
        <v>385</v>
      </c>
      <c r="E78" t="s">
        <v>601</v>
      </c>
      <c r="F78">
        <v>105234</v>
      </c>
      <c r="G78" t="s">
        <v>607</v>
      </c>
      <c r="H78">
        <f>F78-K78</f>
        <v>0</v>
      </c>
      <c r="I78" t="s">
        <v>683</v>
      </c>
      <c r="J78" t="s">
        <v>602</v>
      </c>
      <c r="K78">
        <v>95049</v>
      </c>
      <c r="L78" t="s">
        <v>899</v>
      </c>
      <c r="M78" t="s">
        <v>976</v>
      </c>
      <c r="N78" t="s">
        <v>605</v>
      </c>
      <c r="O78">
        <v>19334</v>
      </c>
      <c r="P78" t="s">
        <v>899</v>
      </c>
    </row>
    <row r="79" spans="1:16">
      <c r="A79" t="s">
        <v>93</v>
      </c>
      <c r="B79">
        <v>23</v>
      </c>
      <c r="C79">
        <v>22</v>
      </c>
      <c r="D79" t="s">
        <v>386</v>
      </c>
      <c r="E79" t="s">
        <v>601</v>
      </c>
      <c r="F79">
        <v>111417</v>
      </c>
      <c r="G79" t="s">
        <v>608</v>
      </c>
      <c r="H79">
        <f>F79-K79</f>
        <v>0</v>
      </c>
      <c r="I79" t="s">
        <v>684</v>
      </c>
      <c r="J79" t="s">
        <v>602</v>
      </c>
      <c r="K79">
        <v>82344</v>
      </c>
      <c r="L79" t="s">
        <v>900</v>
      </c>
      <c r="M79" t="s">
        <v>977</v>
      </c>
      <c r="N79" t="s">
        <v>605</v>
      </c>
      <c r="O79">
        <v>24202</v>
      </c>
      <c r="P79" t="s">
        <v>900</v>
      </c>
    </row>
    <row r="80" spans="1:16">
      <c r="A80" t="s">
        <v>94</v>
      </c>
      <c r="B80">
        <v>21</v>
      </c>
      <c r="C80">
        <v>19</v>
      </c>
      <c r="D80" t="s">
        <v>387</v>
      </c>
      <c r="E80" t="s">
        <v>602</v>
      </c>
      <c r="F80">
        <v>79193</v>
      </c>
      <c r="G80" t="s">
        <v>608</v>
      </c>
      <c r="H80">
        <f>F80-K80</f>
        <v>0</v>
      </c>
      <c r="I80" t="s">
        <v>685</v>
      </c>
      <c r="J80" t="s">
        <v>601</v>
      </c>
      <c r="K80">
        <v>71331</v>
      </c>
      <c r="L80" t="s">
        <v>900</v>
      </c>
      <c r="M80" t="s">
        <v>978</v>
      </c>
      <c r="N80" t="s">
        <v>606</v>
      </c>
      <c r="O80">
        <v>30894</v>
      </c>
      <c r="P80" t="s">
        <v>900</v>
      </c>
    </row>
    <row r="81" spans="1:16">
      <c r="A81" t="s">
        <v>95</v>
      </c>
      <c r="B81">
        <v>16</v>
      </c>
      <c r="C81">
        <v>16</v>
      </c>
      <c r="D81" t="s">
        <v>388</v>
      </c>
      <c r="E81" t="s">
        <v>602</v>
      </c>
      <c r="F81">
        <v>89292</v>
      </c>
      <c r="G81" t="s">
        <v>607</v>
      </c>
      <c r="H81">
        <f>F81-K81</f>
        <v>0</v>
      </c>
      <c r="I81" t="s">
        <v>677</v>
      </c>
      <c r="J81" t="s">
        <v>601</v>
      </c>
      <c r="K81">
        <v>79120</v>
      </c>
      <c r="L81" t="s">
        <v>899</v>
      </c>
      <c r="M81" t="s">
        <v>979</v>
      </c>
      <c r="N81" t="s">
        <v>605</v>
      </c>
      <c r="O81">
        <v>22806</v>
      </c>
      <c r="P81" t="s">
        <v>899</v>
      </c>
    </row>
    <row r="82" spans="1:16">
      <c r="A82" t="s">
        <v>96</v>
      </c>
      <c r="B82">
        <v>13</v>
      </c>
      <c r="C82">
        <v>13</v>
      </c>
      <c r="D82" t="s">
        <v>389</v>
      </c>
      <c r="E82" t="s">
        <v>601</v>
      </c>
      <c r="F82">
        <v>100600</v>
      </c>
      <c r="G82" t="s">
        <v>607</v>
      </c>
      <c r="H82">
        <f>F82-K82</f>
        <v>0</v>
      </c>
      <c r="I82" t="s">
        <v>686</v>
      </c>
      <c r="J82" t="s">
        <v>602</v>
      </c>
      <c r="K82">
        <v>83273</v>
      </c>
      <c r="L82" t="s">
        <v>899</v>
      </c>
      <c r="M82" t="s">
        <v>980</v>
      </c>
      <c r="N82" t="s">
        <v>605</v>
      </c>
      <c r="O82">
        <v>13703</v>
      </c>
      <c r="P82" t="s">
        <v>899</v>
      </c>
    </row>
    <row r="83" spans="1:16">
      <c r="A83" t="s">
        <v>97</v>
      </c>
      <c r="B83">
        <v>14</v>
      </c>
      <c r="C83">
        <v>14</v>
      </c>
      <c r="D83" t="s">
        <v>390</v>
      </c>
      <c r="E83" t="s">
        <v>602</v>
      </c>
      <c r="F83">
        <v>97085</v>
      </c>
      <c r="G83" t="s">
        <v>607</v>
      </c>
      <c r="H83">
        <f>F83-K83</f>
        <v>0</v>
      </c>
      <c r="I83" t="s">
        <v>687</v>
      </c>
      <c r="J83" t="s">
        <v>601</v>
      </c>
      <c r="K83">
        <v>66305</v>
      </c>
      <c r="L83" t="s">
        <v>899</v>
      </c>
      <c r="M83" t="s">
        <v>981</v>
      </c>
      <c r="N83" t="s">
        <v>606</v>
      </c>
      <c r="O83">
        <v>38437</v>
      </c>
      <c r="P83" t="s">
        <v>899</v>
      </c>
    </row>
    <row r="84" spans="1:16">
      <c r="A84" t="s">
        <v>98</v>
      </c>
      <c r="B84">
        <v>14</v>
      </c>
      <c r="C84">
        <v>14</v>
      </c>
      <c r="D84" t="s">
        <v>391</v>
      </c>
      <c r="E84" t="s">
        <v>601</v>
      </c>
      <c r="F84">
        <v>133211</v>
      </c>
      <c r="G84" t="s">
        <v>607</v>
      </c>
      <c r="H84">
        <f>F84-K84</f>
        <v>0</v>
      </c>
      <c r="I84" t="s">
        <v>688</v>
      </c>
      <c r="J84" t="s">
        <v>602</v>
      </c>
      <c r="K84">
        <v>54850</v>
      </c>
      <c r="L84" t="s">
        <v>899</v>
      </c>
      <c r="M84" t="s">
        <v>982</v>
      </c>
      <c r="N84" t="s">
        <v>605</v>
      </c>
      <c r="O84">
        <v>8336</v>
      </c>
      <c r="P84" t="s">
        <v>899</v>
      </c>
    </row>
    <row r="85" spans="1:16">
      <c r="A85" t="s">
        <v>99</v>
      </c>
      <c r="B85">
        <v>14</v>
      </c>
      <c r="C85">
        <v>14</v>
      </c>
      <c r="D85" t="s">
        <v>392</v>
      </c>
      <c r="E85" t="s">
        <v>601</v>
      </c>
      <c r="F85">
        <v>108631</v>
      </c>
      <c r="G85" t="s">
        <v>607</v>
      </c>
      <c r="H85">
        <f>F85-K85</f>
        <v>0</v>
      </c>
      <c r="I85" t="s">
        <v>689</v>
      </c>
      <c r="J85" t="s">
        <v>602</v>
      </c>
      <c r="K85">
        <v>87187</v>
      </c>
      <c r="L85" t="s">
        <v>899</v>
      </c>
      <c r="M85" t="s">
        <v>983</v>
      </c>
      <c r="N85" t="s">
        <v>605</v>
      </c>
      <c r="O85">
        <v>15612</v>
      </c>
      <c r="P85" t="s">
        <v>899</v>
      </c>
    </row>
    <row r="86" spans="1:16">
      <c r="A86" t="s">
        <v>100</v>
      </c>
      <c r="B86">
        <v>14</v>
      </c>
      <c r="C86">
        <v>14</v>
      </c>
      <c r="D86" t="s">
        <v>393</v>
      </c>
      <c r="E86" t="s">
        <v>601</v>
      </c>
      <c r="F86">
        <v>102862</v>
      </c>
      <c r="G86" t="s">
        <v>607</v>
      </c>
      <c r="H86">
        <f>F86-K86</f>
        <v>0</v>
      </c>
      <c r="I86" t="s">
        <v>690</v>
      </c>
      <c r="J86" t="s">
        <v>602</v>
      </c>
      <c r="K86">
        <v>75061</v>
      </c>
      <c r="L86" t="s">
        <v>899</v>
      </c>
      <c r="M86" t="s">
        <v>984</v>
      </c>
      <c r="N86" t="s">
        <v>1196</v>
      </c>
      <c r="O86">
        <v>9468</v>
      </c>
      <c r="P86" t="s">
        <v>899</v>
      </c>
    </row>
    <row r="87" spans="1:16">
      <c r="A87" t="s">
        <v>101</v>
      </c>
      <c r="B87">
        <v>16</v>
      </c>
      <c r="C87">
        <v>15</v>
      </c>
      <c r="D87" t="s">
        <v>394</v>
      </c>
      <c r="E87" t="s">
        <v>601</v>
      </c>
      <c r="F87">
        <v>116881</v>
      </c>
      <c r="G87" t="s">
        <v>608</v>
      </c>
      <c r="H87">
        <f>F87-K87</f>
        <v>0</v>
      </c>
      <c r="I87" t="s">
        <v>691</v>
      </c>
      <c r="J87" t="s">
        <v>602</v>
      </c>
      <c r="K87">
        <v>72335</v>
      </c>
      <c r="L87" t="s">
        <v>900</v>
      </c>
      <c r="M87" t="s">
        <v>985</v>
      </c>
      <c r="N87" t="s">
        <v>605</v>
      </c>
      <c r="O87">
        <v>11461</v>
      </c>
      <c r="P87" t="s">
        <v>900</v>
      </c>
    </row>
    <row r="88" spans="1:16">
      <c r="A88" t="s">
        <v>102</v>
      </c>
      <c r="B88">
        <v>16</v>
      </c>
      <c r="C88">
        <v>13</v>
      </c>
      <c r="D88" t="s">
        <v>395</v>
      </c>
      <c r="E88" t="s">
        <v>601</v>
      </c>
      <c r="F88">
        <v>109260</v>
      </c>
      <c r="G88" t="s">
        <v>608</v>
      </c>
      <c r="H88">
        <f>F88-K88</f>
        <v>0</v>
      </c>
      <c r="I88" t="s">
        <v>692</v>
      </c>
      <c r="J88" t="s">
        <v>602</v>
      </c>
      <c r="K88">
        <v>61709</v>
      </c>
      <c r="L88" t="s">
        <v>900</v>
      </c>
      <c r="M88" t="s">
        <v>986</v>
      </c>
      <c r="N88" t="s">
        <v>605</v>
      </c>
      <c r="O88">
        <v>8279</v>
      </c>
      <c r="P88" t="s">
        <v>900</v>
      </c>
    </row>
    <row r="89" spans="1:16">
      <c r="A89" t="s">
        <v>103</v>
      </c>
      <c r="B89">
        <v>15</v>
      </c>
      <c r="C89">
        <v>15</v>
      </c>
      <c r="D89" t="s">
        <v>396</v>
      </c>
      <c r="E89" t="s">
        <v>601</v>
      </c>
      <c r="F89">
        <v>139838</v>
      </c>
      <c r="G89" t="s">
        <v>607</v>
      </c>
      <c r="H89">
        <f>F89-K89</f>
        <v>0</v>
      </c>
      <c r="I89" t="s">
        <v>693</v>
      </c>
      <c r="J89" t="s">
        <v>602</v>
      </c>
      <c r="K89">
        <v>78939</v>
      </c>
      <c r="L89" t="s">
        <v>899</v>
      </c>
      <c r="M89" t="s">
        <v>987</v>
      </c>
      <c r="N89" t="s">
        <v>605</v>
      </c>
      <c r="O89">
        <v>6833</v>
      </c>
      <c r="P89" t="s">
        <v>899</v>
      </c>
    </row>
    <row r="90" spans="1:16">
      <c r="A90" t="s">
        <v>104</v>
      </c>
      <c r="B90">
        <v>17</v>
      </c>
      <c r="C90">
        <v>17</v>
      </c>
      <c r="D90" t="s">
        <v>397</v>
      </c>
      <c r="E90" t="s">
        <v>601</v>
      </c>
      <c r="F90">
        <v>126235</v>
      </c>
      <c r="G90" t="s">
        <v>607</v>
      </c>
      <c r="H90">
        <f>F90-K90</f>
        <v>0</v>
      </c>
      <c r="I90" t="s">
        <v>694</v>
      </c>
      <c r="J90" t="s">
        <v>602</v>
      </c>
      <c r="K90">
        <v>74492</v>
      </c>
      <c r="L90" t="s">
        <v>899</v>
      </c>
      <c r="M90" t="s">
        <v>988</v>
      </c>
      <c r="N90" t="s">
        <v>605</v>
      </c>
      <c r="O90">
        <v>4713</v>
      </c>
      <c r="P90" t="s">
        <v>899</v>
      </c>
    </row>
    <row r="91" spans="1:16">
      <c r="A91" t="s">
        <v>105</v>
      </c>
      <c r="B91">
        <v>17</v>
      </c>
      <c r="C91">
        <v>17</v>
      </c>
      <c r="D91" t="s">
        <v>398</v>
      </c>
      <c r="E91" t="s">
        <v>601</v>
      </c>
      <c r="F91">
        <v>140010</v>
      </c>
      <c r="G91" t="s">
        <v>607</v>
      </c>
      <c r="H91">
        <f>F91-K91</f>
        <v>0</v>
      </c>
      <c r="I91" t="s">
        <v>695</v>
      </c>
      <c r="J91" t="s">
        <v>602</v>
      </c>
      <c r="K91">
        <v>75546</v>
      </c>
      <c r="L91" t="s">
        <v>899</v>
      </c>
      <c r="M91" t="s">
        <v>989</v>
      </c>
      <c r="N91" t="s">
        <v>605</v>
      </c>
      <c r="O91">
        <v>10714</v>
      </c>
      <c r="P91" t="s">
        <v>899</v>
      </c>
    </row>
    <row r="92" spans="1:16">
      <c r="A92" t="s">
        <v>106</v>
      </c>
      <c r="B92">
        <v>22</v>
      </c>
      <c r="C92">
        <v>22</v>
      </c>
      <c r="D92" t="s">
        <v>399</v>
      </c>
      <c r="E92" t="s">
        <v>601</v>
      </c>
      <c r="F92">
        <v>115433</v>
      </c>
      <c r="G92" t="s">
        <v>607</v>
      </c>
      <c r="H92">
        <f>F92-K92</f>
        <v>0</v>
      </c>
      <c r="I92" t="s">
        <v>696</v>
      </c>
      <c r="J92" t="s">
        <v>602</v>
      </c>
      <c r="K92">
        <v>78488</v>
      </c>
      <c r="L92" t="s">
        <v>899</v>
      </c>
      <c r="M92" t="s">
        <v>990</v>
      </c>
      <c r="N92" t="s">
        <v>605</v>
      </c>
      <c r="O92">
        <v>11086</v>
      </c>
      <c r="P92" t="s">
        <v>899</v>
      </c>
    </row>
    <row r="93" spans="1:16">
      <c r="A93" t="s">
        <v>107</v>
      </c>
      <c r="B93">
        <v>23</v>
      </c>
      <c r="C93">
        <v>23</v>
      </c>
      <c r="D93" t="s">
        <v>400</v>
      </c>
      <c r="E93" t="s">
        <v>601</v>
      </c>
      <c r="F93">
        <v>114469</v>
      </c>
      <c r="G93" t="s">
        <v>607</v>
      </c>
      <c r="H93">
        <f>F93-K93</f>
        <v>0</v>
      </c>
      <c r="I93" t="s">
        <v>697</v>
      </c>
      <c r="J93" t="s">
        <v>602</v>
      </c>
      <c r="K93">
        <v>79677</v>
      </c>
      <c r="L93" t="s">
        <v>899</v>
      </c>
      <c r="M93" t="s">
        <v>991</v>
      </c>
      <c r="N93" t="s">
        <v>605</v>
      </c>
      <c r="O93">
        <v>15037</v>
      </c>
      <c r="P93" t="s">
        <v>899</v>
      </c>
    </row>
    <row r="94" spans="1:16">
      <c r="A94" t="s">
        <v>108</v>
      </c>
      <c r="B94">
        <v>22</v>
      </c>
      <c r="C94">
        <v>22</v>
      </c>
      <c r="D94" t="s">
        <v>401</v>
      </c>
      <c r="E94" t="s">
        <v>601</v>
      </c>
      <c r="F94">
        <v>107900</v>
      </c>
      <c r="G94" t="s">
        <v>607</v>
      </c>
      <c r="H94">
        <f>F94-K94</f>
        <v>0</v>
      </c>
      <c r="I94" t="s">
        <v>698</v>
      </c>
      <c r="J94" t="s">
        <v>602</v>
      </c>
      <c r="K94">
        <v>85845</v>
      </c>
      <c r="L94" t="s">
        <v>899</v>
      </c>
      <c r="M94" t="s">
        <v>992</v>
      </c>
      <c r="N94" t="s">
        <v>605</v>
      </c>
      <c r="O94">
        <v>12370</v>
      </c>
      <c r="P94" t="s">
        <v>899</v>
      </c>
    </row>
    <row r="95" spans="1:16">
      <c r="A95" t="s">
        <v>109</v>
      </c>
      <c r="B95">
        <v>23</v>
      </c>
      <c r="C95">
        <v>23</v>
      </c>
      <c r="D95" t="s">
        <v>402</v>
      </c>
      <c r="E95" t="s">
        <v>601</v>
      </c>
      <c r="F95">
        <v>121307</v>
      </c>
      <c r="G95" t="s">
        <v>607</v>
      </c>
      <c r="H95">
        <f>F95-K95</f>
        <v>0</v>
      </c>
      <c r="I95" t="s">
        <v>699</v>
      </c>
      <c r="J95" t="s">
        <v>602</v>
      </c>
      <c r="K95">
        <v>86691</v>
      </c>
      <c r="L95" t="s">
        <v>899</v>
      </c>
      <c r="M95" t="s">
        <v>993</v>
      </c>
      <c r="N95" t="s">
        <v>1192</v>
      </c>
      <c r="O95">
        <v>4700</v>
      </c>
      <c r="P95" t="s">
        <v>899</v>
      </c>
    </row>
    <row r="96" spans="1:16">
      <c r="A96" t="s">
        <v>110</v>
      </c>
      <c r="B96">
        <v>21</v>
      </c>
      <c r="C96">
        <v>21</v>
      </c>
      <c r="D96" t="s">
        <v>403</v>
      </c>
      <c r="E96" t="s">
        <v>601</v>
      </c>
      <c r="F96">
        <v>119317</v>
      </c>
      <c r="G96" t="s">
        <v>607</v>
      </c>
      <c r="H96">
        <f>F96-K96</f>
        <v>0</v>
      </c>
      <c r="I96" t="s">
        <v>700</v>
      </c>
      <c r="J96" t="s">
        <v>602</v>
      </c>
      <c r="K96">
        <v>78647</v>
      </c>
      <c r="L96" t="s">
        <v>899</v>
      </c>
      <c r="M96" t="s">
        <v>994</v>
      </c>
      <c r="N96" t="s">
        <v>605</v>
      </c>
      <c r="O96">
        <v>8554</v>
      </c>
      <c r="P96" t="s">
        <v>899</v>
      </c>
    </row>
    <row r="97" spans="1:16">
      <c r="A97" t="s">
        <v>111</v>
      </c>
      <c r="B97">
        <v>21</v>
      </c>
      <c r="C97">
        <v>21</v>
      </c>
      <c r="D97" t="s">
        <v>404</v>
      </c>
      <c r="E97" t="s">
        <v>601</v>
      </c>
      <c r="F97">
        <v>119399</v>
      </c>
      <c r="G97" t="s">
        <v>607</v>
      </c>
      <c r="H97">
        <f>F97-K97</f>
        <v>0</v>
      </c>
      <c r="I97" t="s">
        <v>701</v>
      </c>
      <c r="J97" t="s">
        <v>602</v>
      </c>
      <c r="K97">
        <v>81585</v>
      </c>
      <c r="L97" t="s">
        <v>899</v>
      </c>
      <c r="M97" t="s">
        <v>995</v>
      </c>
      <c r="N97" t="s">
        <v>605</v>
      </c>
      <c r="O97">
        <v>6197</v>
      </c>
      <c r="P97" t="s">
        <v>899</v>
      </c>
    </row>
    <row r="98" spans="1:16">
      <c r="A98" t="s">
        <v>112</v>
      </c>
      <c r="B98">
        <v>20</v>
      </c>
      <c r="C98">
        <v>20</v>
      </c>
      <c r="D98" t="s">
        <v>405</v>
      </c>
      <c r="E98" t="s">
        <v>601</v>
      </c>
      <c r="F98">
        <v>121322</v>
      </c>
      <c r="G98" t="s">
        <v>607</v>
      </c>
      <c r="H98">
        <f>F98-K98</f>
        <v>0</v>
      </c>
      <c r="I98" t="s">
        <v>702</v>
      </c>
      <c r="J98" t="s">
        <v>602</v>
      </c>
      <c r="K98">
        <v>73639</v>
      </c>
      <c r="L98" t="s">
        <v>899</v>
      </c>
      <c r="M98" t="s">
        <v>996</v>
      </c>
      <c r="N98" t="s">
        <v>1197</v>
      </c>
      <c r="O98">
        <v>9003</v>
      </c>
      <c r="P98" t="s">
        <v>899</v>
      </c>
    </row>
    <row r="99" spans="1:16">
      <c r="A99" t="s">
        <v>113</v>
      </c>
      <c r="B99">
        <v>16</v>
      </c>
      <c r="C99">
        <v>13</v>
      </c>
      <c r="D99" t="s">
        <v>406</v>
      </c>
      <c r="E99" t="s">
        <v>602</v>
      </c>
      <c r="F99">
        <v>92089</v>
      </c>
      <c r="G99" t="s">
        <v>608</v>
      </c>
      <c r="H99">
        <f>F99-K99</f>
        <v>0</v>
      </c>
      <c r="I99" t="s">
        <v>703</v>
      </c>
      <c r="J99" t="s">
        <v>601</v>
      </c>
      <c r="K99">
        <v>77125</v>
      </c>
      <c r="L99" t="s">
        <v>900</v>
      </c>
      <c r="M99" t="s">
        <v>997</v>
      </c>
      <c r="N99" t="s">
        <v>605</v>
      </c>
      <c r="O99">
        <v>37539</v>
      </c>
      <c r="P99" t="s">
        <v>900</v>
      </c>
    </row>
    <row r="100" spans="1:16">
      <c r="A100" t="s">
        <v>114</v>
      </c>
      <c r="B100">
        <v>21</v>
      </c>
      <c r="C100">
        <v>21</v>
      </c>
      <c r="D100" t="s">
        <v>407</v>
      </c>
      <c r="E100" t="s">
        <v>602</v>
      </c>
      <c r="F100">
        <v>103334</v>
      </c>
      <c r="G100" t="s">
        <v>607</v>
      </c>
      <c r="H100">
        <f>F100-K100</f>
        <v>0</v>
      </c>
      <c r="I100" t="s">
        <v>704</v>
      </c>
      <c r="J100" t="s">
        <v>601</v>
      </c>
      <c r="K100">
        <v>63273</v>
      </c>
      <c r="L100" t="s">
        <v>899</v>
      </c>
      <c r="M100" t="s">
        <v>998</v>
      </c>
      <c r="N100" t="s">
        <v>606</v>
      </c>
      <c r="O100">
        <v>49700</v>
      </c>
      <c r="P100" t="s">
        <v>899</v>
      </c>
    </row>
    <row r="101" spans="1:16">
      <c r="A101" t="s">
        <v>115</v>
      </c>
      <c r="B101">
        <v>19</v>
      </c>
      <c r="C101">
        <v>19</v>
      </c>
      <c r="D101" t="s">
        <v>408</v>
      </c>
      <c r="E101" t="s">
        <v>601</v>
      </c>
      <c r="F101">
        <v>104645</v>
      </c>
      <c r="G101" t="s">
        <v>607</v>
      </c>
      <c r="H101">
        <f>F101-K101</f>
        <v>0</v>
      </c>
      <c r="I101" t="s">
        <v>705</v>
      </c>
      <c r="J101" t="s">
        <v>602</v>
      </c>
      <c r="K101">
        <v>73183</v>
      </c>
      <c r="L101" t="s">
        <v>899</v>
      </c>
      <c r="M101" t="s">
        <v>999</v>
      </c>
      <c r="N101" t="s">
        <v>605</v>
      </c>
      <c r="O101">
        <v>15237</v>
      </c>
      <c r="P101" t="s">
        <v>899</v>
      </c>
    </row>
    <row r="102" spans="1:16">
      <c r="A102" t="s">
        <v>116</v>
      </c>
      <c r="B102">
        <v>21</v>
      </c>
      <c r="C102">
        <v>21</v>
      </c>
      <c r="D102" t="s">
        <v>409</v>
      </c>
      <c r="E102" t="s">
        <v>601</v>
      </c>
      <c r="F102">
        <v>96807</v>
      </c>
      <c r="G102" t="s">
        <v>607</v>
      </c>
      <c r="H102">
        <f>F102-K102</f>
        <v>0</v>
      </c>
      <c r="I102" t="s">
        <v>706</v>
      </c>
      <c r="J102" t="s">
        <v>602</v>
      </c>
      <c r="K102">
        <v>87399</v>
      </c>
      <c r="L102" t="s">
        <v>899</v>
      </c>
      <c r="M102" t="s">
        <v>884</v>
      </c>
      <c r="N102" t="s">
        <v>606</v>
      </c>
      <c r="O102">
        <v>29493</v>
      </c>
      <c r="P102" t="s">
        <v>899</v>
      </c>
    </row>
    <row r="103" spans="1:16">
      <c r="A103" t="s">
        <v>117</v>
      </c>
      <c r="B103">
        <v>20</v>
      </c>
      <c r="C103">
        <v>18</v>
      </c>
      <c r="D103" t="s">
        <v>410</v>
      </c>
      <c r="E103" t="s">
        <v>602</v>
      </c>
      <c r="F103">
        <v>76429</v>
      </c>
      <c r="G103" t="s">
        <v>608</v>
      </c>
      <c r="H103">
        <f>F103-K103</f>
        <v>0</v>
      </c>
      <c r="I103" t="s">
        <v>707</v>
      </c>
      <c r="J103" t="s">
        <v>601</v>
      </c>
      <c r="K103">
        <v>72610</v>
      </c>
      <c r="L103" t="s">
        <v>900</v>
      </c>
      <c r="M103" t="s">
        <v>1000</v>
      </c>
      <c r="N103" t="s">
        <v>606</v>
      </c>
      <c r="O103">
        <v>44613</v>
      </c>
      <c r="P103" t="s">
        <v>900</v>
      </c>
    </row>
    <row r="104" spans="1:16">
      <c r="A104" t="s">
        <v>118</v>
      </c>
      <c r="B104">
        <v>10</v>
      </c>
      <c r="C104">
        <v>10</v>
      </c>
      <c r="D104" t="s">
        <v>411</v>
      </c>
      <c r="E104" t="s">
        <v>601</v>
      </c>
      <c r="F104">
        <v>71799</v>
      </c>
      <c r="G104" t="s">
        <v>607</v>
      </c>
      <c r="H104">
        <f>F104-K104</f>
        <v>0</v>
      </c>
      <c r="I104" t="s">
        <v>708</v>
      </c>
      <c r="J104" t="s">
        <v>602</v>
      </c>
      <c r="K104">
        <v>58456</v>
      </c>
      <c r="L104" t="s">
        <v>899</v>
      </c>
      <c r="M104" t="s">
        <v>1001</v>
      </c>
      <c r="N104" t="s">
        <v>605</v>
      </c>
      <c r="O104">
        <v>10009</v>
      </c>
      <c r="P104" t="s">
        <v>899</v>
      </c>
    </row>
    <row r="105" spans="1:16">
      <c r="A105" t="s">
        <v>119</v>
      </c>
      <c r="B105">
        <v>12</v>
      </c>
      <c r="C105">
        <v>12</v>
      </c>
      <c r="D105" t="s">
        <v>412</v>
      </c>
      <c r="E105" t="s">
        <v>601</v>
      </c>
      <c r="F105">
        <v>77484</v>
      </c>
      <c r="G105" t="s">
        <v>607</v>
      </c>
      <c r="H105">
        <f>F105-K105</f>
        <v>0</v>
      </c>
      <c r="I105" t="s">
        <v>709</v>
      </c>
      <c r="J105" t="s">
        <v>602</v>
      </c>
      <c r="K105">
        <v>67054</v>
      </c>
      <c r="L105" t="s">
        <v>899</v>
      </c>
      <c r="M105" t="s">
        <v>1002</v>
      </c>
      <c r="N105" t="s">
        <v>1196</v>
      </c>
      <c r="O105">
        <v>7727</v>
      </c>
      <c r="P105" t="s">
        <v>899</v>
      </c>
    </row>
    <row r="106" spans="1:16">
      <c r="A106" t="s">
        <v>120</v>
      </c>
      <c r="B106">
        <v>12</v>
      </c>
      <c r="C106">
        <v>12</v>
      </c>
      <c r="D106" t="s">
        <v>413</v>
      </c>
      <c r="E106" t="s">
        <v>601</v>
      </c>
      <c r="F106">
        <v>61683</v>
      </c>
      <c r="G106" t="s">
        <v>607</v>
      </c>
      <c r="H106">
        <f>F106-K106</f>
        <v>0</v>
      </c>
      <c r="I106" t="s">
        <v>710</v>
      </c>
      <c r="J106" t="s">
        <v>602</v>
      </c>
      <c r="K106">
        <v>38876</v>
      </c>
      <c r="L106" t="s">
        <v>899</v>
      </c>
      <c r="M106" t="s">
        <v>1003</v>
      </c>
      <c r="N106" t="s">
        <v>605</v>
      </c>
      <c r="O106">
        <v>2969</v>
      </c>
      <c r="P106" t="s">
        <v>899</v>
      </c>
    </row>
    <row r="107" spans="1:16">
      <c r="A107" t="s">
        <v>121</v>
      </c>
      <c r="B107">
        <v>11</v>
      </c>
      <c r="C107">
        <v>8</v>
      </c>
      <c r="D107" t="s">
        <v>414</v>
      </c>
      <c r="E107" t="s">
        <v>601</v>
      </c>
      <c r="F107">
        <v>71753</v>
      </c>
      <c r="G107" t="s">
        <v>608</v>
      </c>
      <c r="H107">
        <f>F107-K107</f>
        <v>0</v>
      </c>
      <c r="I107" t="s">
        <v>711</v>
      </c>
      <c r="J107" t="s">
        <v>602</v>
      </c>
      <c r="K107">
        <v>57481</v>
      </c>
      <c r="L107" t="s">
        <v>900</v>
      </c>
      <c r="M107" t="s">
        <v>1004</v>
      </c>
      <c r="N107" t="s">
        <v>1192</v>
      </c>
      <c r="O107">
        <v>7070</v>
      </c>
      <c r="P107" t="s">
        <v>900</v>
      </c>
    </row>
    <row r="108" spans="1:16">
      <c r="A108" t="s">
        <v>122</v>
      </c>
      <c r="B108">
        <v>14</v>
      </c>
      <c r="C108">
        <v>12</v>
      </c>
      <c r="D108" t="s">
        <v>415</v>
      </c>
      <c r="E108" t="s">
        <v>601</v>
      </c>
      <c r="F108">
        <v>79332</v>
      </c>
      <c r="G108" t="s">
        <v>608</v>
      </c>
      <c r="H108">
        <f>F108-K108</f>
        <v>0</v>
      </c>
      <c r="I108" t="s">
        <v>712</v>
      </c>
      <c r="J108" t="s">
        <v>602</v>
      </c>
      <c r="K108">
        <v>62496</v>
      </c>
      <c r="L108" t="s">
        <v>900</v>
      </c>
      <c r="M108" t="s">
        <v>1005</v>
      </c>
      <c r="N108" t="s">
        <v>605</v>
      </c>
      <c r="O108">
        <v>15597</v>
      </c>
      <c r="P108" t="s">
        <v>900</v>
      </c>
    </row>
    <row r="109" spans="1:16">
      <c r="A109" t="s">
        <v>123</v>
      </c>
      <c r="B109">
        <v>15</v>
      </c>
      <c r="C109">
        <v>15</v>
      </c>
      <c r="D109" t="s">
        <v>416</v>
      </c>
      <c r="E109" t="s">
        <v>601</v>
      </c>
      <c r="F109">
        <v>78466</v>
      </c>
      <c r="G109" t="s">
        <v>607</v>
      </c>
      <c r="H109">
        <f>F109-K109</f>
        <v>0</v>
      </c>
      <c r="I109" t="s">
        <v>713</v>
      </c>
      <c r="J109" t="s">
        <v>602</v>
      </c>
      <c r="K109">
        <v>62644</v>
      </c>
      <c r="L109" t="s">
        <v>899</v>
      </c>
      <c r="M109" t="s">
        <v>1006</v>
      </c>
      <c r="N109" t="s">
        <v>605</v>
      </c>
      <c r="O109">
        <v>10197</v>
      </c>
      <c r="P109" t="s">
        <v>899</v>
      </c>
    </row>
    <row r="110" spans="1:16">
      <c r="A110" t="s">
        <v>124</v>
      </c>
      <c r="B110">
        <v>13</v>
      </c>
      <c r="C110">
        <v>13</v>
      </c>
      <c r="D110" t="s">
        <v>417</v>
      </c>
      <c r="E110" t="s">
        <v>601</v>
      </c>
      <c r="F110">
        <v>97752</v>
      </c>
      <c r="G110" t="s">
        <v>607</v>
      </c>
      <c r="H110">
        <f>F110-K110</f>
        <v>0</v>
      </c>
      <c r="I110" t="s">
        <v>714</v>
      </c>
      <c r="J110" t="s">
        <v>602</v>
      </c>
      <c r="K110">
        <v>73266</v>
      </c>
      <c r="L110" t="s">
        <v>899</v>
      </c>
      <c r="M110" t="s">
        <v>1007</v>
      </c>
      <c r="N110" t="s">
        <v>605</v>
      </c>
      <c r="O110">
        <v>19818</v>
      </c>
      <c r="P110" t="s">
        <v>899</v>
      </c>
    </row>
    <row r="111" spans="1:16">
      <c r="A111" t="s">
        <v>125</v>
      </c>
      <c r="B111">
        <v>16</v>
      </c>
      <c r="C111">
        <v>16</v>
      </c>
      <c r="D111" t="s">
        <v>418</v>
      </c>
      <c r="E111" t="s">
        <v>601</v>
      </c>
      <c r="F111">
        <v>103284</v>
      </c>
      <c r="G111" t="s">
        <v>607</v>
      </c>
      <c r="H111">
        <f>F111-K111</f>
        <v>0</v>
      </c>
      <c r="I111" t="s">
        <v>715</v>
      </c>
      <c r="J111" t="s">
        <v>602</v>
      </c>
      <c r="K111">
        <v>76880</v>
      </c>
      <c r="L111" t="s">
        <v>899</v>
      </c>
      <c r="M111" t="s">
        <v>1008</v>
      </c>
      <c r="N111" t="s">
        <v>605</v>
      </c>
      <c r="O111">
        <v>38428</v>
      </c>
      <c r="P111" t="s">
        <v>899</v>
      </c>
    </row>
    <row r="112" spans="1:16">
      <c r="A112" t="s">
        <v>126</v>
      </c>
      <c r="B112">
        <v>13</v>
      </c>
      <c r="C112">
        <v>13</v>
      </c>
      <c r="D112" t="s">
        <v>419</v>
      </c>
      <c r="E112" t="s">
        <v>601</v>
      </c>
      <c r="F112">
        <v>87977</v>
      </c>
      <c r="G112" t="s">
        <v>607</v>
      </c>
      <c r="H112">
        <f>F112-K112</f>
        <v>0</v>
      </c>
      <c r="I112" t="s">
        <v>716</v>
      </c>
      <c r="J112" t="s">
        <v>602</v>
      </c>
      <c r="K112">
        <v>59141</v>
      </c>
      <c r="L112" t="s">
        <v>899</v>
      </c>
      <c r="M112" t="s">
        <v>1009</v>
      </c>
      <c r="N112" t="s">
        <v>605</v>
      </c>
      <c r="O112">
        <v>24032</v>
      </c>
      <c r="P112" t="s">
        <v>899</v>
      </c>
    </row>
    <row r="113" spans="1:16">
      <c r="A113" t="s">
        <v>127</v>
      </c>
      <c r="B113">
        <v>11</v>
      </c>
      <c r="C113">
        <v>11</v>
      </c>
      <c r="D113" t="s">
        <v>420</v>
      </c>
      <c r="E113" t="s">
        <v>602</v>
      </c>
      <c r="F113">
        <v>64817</v>
      </c>
      <c r="G113" t="s">
        <v>607</v>
      </c>
      <c r="H113">
        <f>F113-K113</f>
        <v>0</v>
      </c>
      <c r="I113" t="s">
        <v>717</v>
      </c>
      <c r="J113" t="s">
        <v>601</v>
      </c>
      <c r="K113">
        <v>59171</v>
      </c>
      <c r="L113" t="s">
        <v>899</v>
      </c>
      <c r="M113" t="s">
        <v>1010</v>
      </c>
      <c r="N113" t="s">
        <v>605</v>
      </c>
      <c r="O113">
        <v>20203</v>
      </c>
      <c r="P113" t="s">
        <v>899</v>
      </c>
    </row>
    <row r="114" spans="1:16">
      <c r="A114" t="s">
        <v>128</v>
      </c>
      <c r="B114">
        <v>13</v>
      </c>
      <c r="C114">
        <v>13</v>
      </c>
      <c r="D114" t="s">
        <v>421</v>
      </c>
      <c r="E114" t="s">
        <v>601</v>
      </c>
      <c r="F114">
        <v>81730</v>
      </c>
      <c r="G114" t="s">
        <v>607</v>
      </c>
      <c r="H114">
        <f>F114-K114</f>
        <v>0</v>
      </c>
      <c r="I114" t="s">
        <v>718</v>
      </c>
      <c r="J114" t="s">
        <v>602</v>
      </c>
      <c r="K114">
        <v>64774</v>
      </c>
      <c r="L114" t="s">
        <v>899</v>
      </c>
      <c r="M114" t="s">
        <v>1011</v>
      </c>
      <c r="N114" t="s">
        <v>605</v>
      </c>
      <c r="O114">
        <v>18689</v>
      </c>
      <c r="P114" t="s">
        <v>899</v>
      </c>
    </row>
    <row r="115" spans="1:16">
      <c r="A115" t="s">
        <v>129</v>
      </c>
      <c r="B115">
        <v>15</v>
      </c>
      <c r="C115">
        <v>15</v>
      </c>
      <c r="D115" t="s">
        <v>422</v>
      </c>
      <c r="E115" t="s">
        <v>601</v>
      </c>
      <c r="F115">
        <v>99181</v>
      </c>
      <c r="G115" t="s">
        <v>607</v>
      </c>
      <c r="H115">
        <f>F115-K115</f>
        <v>0</v>
      </c>
      <c r="I115" t="s">
        <v>719</v>
      </c>
      <c r="J115" t="s">
        <v>602</v>
      </c>
      <c r="K115">
        <v>73908</v>
      </c>
      <c r="L115" t="s">
        <v>899</v>
      </c>
      <c r="M115" t="s">
        <v>1012</v>
      </c>
      <c r="N115" t="s">
        <v>605</v>
      </c>
      <c r="O115">
        <v>20576</v>
      </c>
      <c r="P115" t="s">
        <v>899</v>
      </c>
    </row>
    <row r="116" spans="1:16">
      <c r="A116" t="s">
        <v>130</v>
      </c>
      <c r="B116">
        <v>17</v>
      </c>
      <c r="C116">
        <v>13</v>
      </c>
      <c r="D116" t="s">
        <v>423</v>
      </c>
      <c r="E116" t="s">
        <v>602</v>
      </c>
      <c r="F116">
        <v>90558</v>
      </c>
      <c r="G116" t="s">
        <v>608</v>
      </c>
      <c r="H116">
        <f>F116-K116</f>
        <v>0</v>
      </c>
      <c r="I116" t="s">
        <v>720</v>
      </c>
      <c r="J116" t="s">
        <v>601</v>
      </c>
      <c r="K116">
        <v>77779</v>
      </c>
      <c r="L116" t="s">
        <v>900</v>
      </c>
      <c r="M116" t="s">
        <v>1013</v>
      </c>
      <c r="N116" t="s">
        <v>605</v>
      </c>
      <c r="O116">
        <v>26833</v>
      </c>
      <c r="P116" t="s">
        <v>900</v>
      </c>
    </row>
    <row r="117" spans="1:16">
      <c r="A117" t="s">
        <v>131</v>
      </c>
      <c r="B117">
        <v>16</v>
      </c>
      <c r="C117">
        <v>16</v>
      </c>
      <c r="D117" t="s">
        <v>424</v>
      </c>
      <c r="E117" t="s">
        <v>601</v>
      </c>
      <c r="F117">
        <v>97979</v>
      </c>
      <c r="G117" t="s">
        <v>607</v>
      </c>
      <c r="H117">
        <f>F117-K117</f>
        <v>0</v>
      </c>
      <c r="I117" t="s">
        <v>721</v>
      </c>
      <c r="J117" t="s">
        <v>602</v>
      </c>
      <c r="K117">
        <v>60649</v>
      </c>
      <c r="L117" t="s">
        <v>899</v>
      </c>
      <c r="M117" t="s">
        <v>1014</v>
      </c>
      <c r="N117" t="s">
        <v>605</v>
      </c>
      <c r="O117">
        <v>13956</v>
      </c>
      <c r="P117" t="s">
        <v>899</v>
      </c>
    </row>
    <row r="118" spans="1:16">
      <c r="A118" t="s">
        <v>132</v>
      </c>
      <c r="B118">
        <v>14</v>
      </c>
      <c r="C118">
        <v>14</v>
      </c>
      <c r="D118" t="s">
        <v>425</v>
      </c>
      <c r="E118" t="s">
        <v>601</v>
      </c>
      <c r="F118">
        <v>101277</v>
      </c>
      <c r="G118" t="s">
        <v>607</v>
      </c>
      <c r="H118">
        <f>F118-K118</f>
        <v>0</v>
      </c>
      <c r="I118" t="s">
        <v>722</v>
      </c>
      <c r="J118" t="s">
        <v>602</v>
      </c>
      <c r="K118">
        <v>73520</v>
      </c>
      <c r="L118" t="s">
        <v>899</v>
      </c>
      <c r="M118" t="s">
        <v>1015</v>
      </c>
      <c r="N118" t="s">
        <v>605</v>
      </c>
      <c r="O118">
        <v>16476</v>
      </c>
      <c r="P118" t="s">
        <v>899</v>
      </c>
    </row>
    <row r="119" spans="1:16">
      <c r="A119" t="s">
        <v>133</v>
      </c>
      <c r="B119">
        <v>17</v>
      </c>
      <c r="C119">
        <v>14</v>
      </c>
      <c r="D119" t="s">
        <v>426</v>
      </c>
      <c r="E119" t="s">
        <v>601</v>
      </c>
      <c r="F119">
        <v>82596</v>
      </c>
      <c r="G119" t="s">
        <v>608</v>
      </c>
      <c r="H119">
        <f>F119-K119</f>
        <v>0</v>
      </c>
      <c r="I119" t="s">
        <v>723</v>
      </c>
      <c r="J119" t="s">
        <v>602</v>
      </c>
      <c r="K119">
        <v>77056</v>
      </c>
      <c r="L119" t="s">
        <v>900</v>
      </c>
      <c r="M119" t="s">
        <v>1016</v>
      </c>
      <c r="N119" t="s">
        <v>606</v>
      </c>
      <c r="O119">
        <v>23014</v>
      </c>
      <c r="P119" t="s">
        <v>900</v>
      </c>
    </row>
    <row r="120" spans="1:16">
      <c r="A120" t="s">
        <v>134</v>
      </c>
      <c r="B120">
        <v>23</v>
      </c>
      <c r="C120">
        <v>23</v>
      </c>
      <c r="D120" t="s">
        <v>427</v>
      </c>
      <c r="E120" t="s">
        <v>601</v>
      </c>
      <c r="F120">
        <v>122171</v>
      </c>
      <c r="G120" t="s">
        <v>607</v>
      </c>
      <c r="H120">
        <f>F120-K120</f>
        <v>0</v>
      </c>
      <c r="I120" t="s">
        <v>724</v>
      </c>
      <c r="J120" t="s">
        <v>602</v>
      </c>
      <c r="K120">
        <v>87613</v>
      </c>
      <c r="L120" t="s">
        <v>899</v>
      </c>
      <c r="M120" t="s">
        <v>1017</v>
      </c>
      <c r="N120" t="s">
        <v>1192</v>
      </c>
      <c r="O120">
        <v>18700</v>
      </c>
      <c r="P120" t="s">
        <v>899</v>
      </c>
    </row>
    <row r="121" spans="1:16">
      <c r="A121" t="s">
        <v>135</v>
      </c>
      <c r="B121">
        <v>20</v>
      </c>
      <c r="C121">
        <v>20</v>
      </c>
      <c r="D121" t="s">
        <v>428</v>
      </c>
      <c r="E121" t="s">
        <v>602</v>
      </c>
      <c r="F121">
        <v>101114</v>
      </c>
      <c r="G121" t="s">
        <v>607</v>
      </c>
      <c r="H121">
        <f>F121-K121</f>
        <v>0</v>
      </c>
      <c r="I121" t="s">
        <v>725</v>
      </c>
      <c r="J121" t="s">
        <v>606</v>
      </c>
      <c r="K121">
        <v>83296</v>
      </c>
      <c r="L121" t="s">
        <v>899</v>
      </c>
      <c r="M121" t="s">
        <v>1018</v>
      </c>
      <c r="N121" t="s">
        <v>601</v>
      </c>
      <c r="O121">
        <v>41726</v>
      </c>
      <c r="P121" t="s">
        <v>899</v>
      </c>
    </row>
    <row r="122" spans="1:16">
      <c r="A122" t="s">
        <v>136</v>
      </c>
      <c r="B122">
        <v>22</v>
      </c>
      <c r="C122">
        <v>22</v>
      </c>
      <c r="D122" t="s">
        <v>429</v>
      </c>
      <c r="E122" t="s">
        <v>602</v>
      </c>
      <c r="F122">
        <v>117591</v>
      </c>
      <c r="G122" t="s">
        <v>607</v>
      </c>
      <c r="H122">
        <f>F122-K122</f>
        <v>0</v>
      </c>
      <c r="I122" t="s">
        <v>726</v>
      </c>
      <c r="J122" t="s">
        <v>606</v>
      </c>
      <c r="K122">
        <v>68250</v>
      </c>
      <c r="L122" t="s">
        <v>899</v>
      </c>
      <c r="M122" t="s">
        <v>1019</v>
      </c>
      <c r="N122" t="s">
        <v>601</v>
      </c>
      <c r="O122">
        <v>41144</v>
      </c>
      <c r="P122" t="s">
        <v>899</v>
      </c>
    </row>
    <row r="123" spans="1:16">
      <c r="A123" t="s">
        <v>137</v>
      </c>
      <c r="B123">
        <v>20</v>
      </c>
      <c r="C123">
        <v>20</v>
      </c>
      <c r="D123" t="s">
        <v>430</v>
      </c>
      <c r="E123" t="s">
        <v>602</v>
      </c>
      <c r="F123">
        <v>92079</v>
      </c>
      <c r="G123" t="s">
        <v>607</v>
      </c>
      <c r="H123">
        <f>F123-K123</f>
        <v>0</v>
      </c>
      <c r="I123" t="s">
        <v>727</v>
      </c>
      <c r="J123" t="s">
        <v>601</v>
      </c>
      <c r="K123">
        <v>59787</v>
      </c>
      <c r="L123" t="s">
        <v>899</v>
      </c>
      <c r="M123" t="s">
        <v>1020</v>
      </c>
      <c r="N123" t="s">
        <v>606</v>
      </c>
      <c r="O123">
        <v>55753</v>
      </c>
      <c r="P123" t="s">
        <v>899</v>
      </c>
    </row>
    <row r="124" spans="1:16">
      <c r="A124" t="s">
        <v>138</v>
      </c>
      <c r="B124">
        <v>20</v>
      </c>
      <c r="C124">
        <v>20</v>
      </c>
      <c r="D124" t="s">
        <v>431</v>
      </c>
      <c r="E124" t="s">
        <v>601</v>
      </c>
      <c r="F124">
        <v>107189</v>
      </c>
      <c r="G124" t="s">
        <v>607</v>
      </c>
      <c r="H124">
        <f>F124-K124</f>
        <v>0</v>
      </c>
      <c r="I124" t="s">
        <v>728</v>
      </c>
      <c r="J124" t="s">
        <v>602</v>
      </c>
      <c r="K124">
        <v>89679</v>
      </c>
      <c r="L124" t="s">
        <v>899</v>
      </c>
      <c r="M124" t="s">
        <v>1021</v>
      </c>
      <c r="N124" t="s">
        <v>605</v>
      </c>
      <c r="O124">
        <v>12921</v>
      </c>
      <c r="P124" t="s">
        <v>899</v>
      </c>
    </row>
    <row r="125" spans="1:16">
      <c r="A125" t="s">
        <v>139</v>
      </c>
      <c r="B125">
        <v>16</v>
      </c>
      <c r="C125">
        <v>16</v>
      </c>
      <c r="D125" t="s">
        <v>432</v>
      </c>
      <c r="E125" t="s">
        <v>602</v>
      </c>
      <c r="F125">
        <v>112802</v>
      </c>
      <c r="G125" t="s">
        <v>607</v>
      </c>
      <c r="H125">
        <f>F125-K125</f>
        <v>0</v>
      </c>
      <c r="I125" t="s">
        <v>729</v>
      </c>
      <c r="J125" t="s">
        <v>601</v>
      </c>
      <c r="K125">
        <v>102957</v>
      </c>
      <c r="L125" t="s">
        <v>899</v>
      </c>
      <c r="M125" t="s">
        <v>1022</v>
      </c>
      <c r="N125" t="s">
        <v>605</v>
      </c>
      <c r="O125">
        <v>23700</v>
      </c>
      <c r="P125" t="s">
        <v>899</v>
      </c>
    </row>
    <row r="126" spans="1:16">
      <c r="A126" t="s">
        <v>140</v>
      </c>
      <c r="B126">
        <v>22</v>
      </c>
      <c r="C126">
        <v>22</v>
      </c>
      <c r="D126" t="s">
        <v>433</v>
      </c>
      <c r="E126" t="s">
        <v>602</v>
      </c>
      <c r="F126">
        <v>115503</v>
      </c>
      <c r="G126" t="s">
        <v>607</v>
      </c>
      <c r="H126">
        <f>F126-K126</f>
        <v>0</v>
      </c>
      <c r="I126" t="s">
        <v>730</v>
      </c>
      <c r="J126" t="s">
        <v>606</v>
      </c>
      <c r="K126">
        <v>58233</v>
      </c>
      <c r="L126" t="s">
        <v>899</v>
      </c>
      <c r="M126" t="s">
        <v>1023</v>
      </c>
      <c r="N126" t="s">
        <v>601</v>
      </c>
      <c r="O126">
        <v>55211</v>
      </c>
      <c r="P126" t="s">
        <v>899</v>
      </c>
    </row>
    <row r="127" spans="1:16">
      <c r="A127" t="s">
        <v>141</v>
      </c>
      <c r="B127">
        <v>19</v>
      </c>
      <c r="C127">
        <v>19</v>
      </c>
      <c r="D127" t="s">
        <v>434</v>
      </c>
      <c r="E127" t="s">
        <v>601</v>
      </c>
      <c r="F127">
        <v>100207</v>
      </c>
      <c r="G127" t="s">
        <v>607</v>
      </c>
      <c r="H127">
        <f>F127-K127</f>
        <v>0</v>
      </c>
      <c r="I127" t="s">
        <v>731</v>
      </c>
      <c r="J127" t="s">
        <v>602</v>
      </c>
      <c r="K127">
        <v>94786</v>
      </c>
      <c r="L127" t="s">
        <v>899</v>
      </c>
      <c r="M127" t="s">
        <v>1024</v>
      </c>
      <c r="N127" t="s">
        <v>1197</v>
      </c>
      <c r="O127">
        <v>7205</v>
      </c>
      <c r="P127" t="s">
        <v>899</v>
      </c>
    </row>
    <row r="128" spans="1:16">
      <c r="A128" t="s">
        <v>142</v>
      </c>
      <c r="B128">
        <v>21</v>
      </c>
      <c r="C128">
        <v>21</v>
      </c>
      <c r="D128" t="s">
        <v>435</v>
      </c>
      <c r="E128" t="s">
        <v>601</v>
      </c>
      <c r="F128">
        <v>108492</v>
      </c>
      <c r="G128" t="s">
        <v>607</v>
      </c>
      <c r="H128">
        <f>F128-K128</f>
        <v>0</v>
      </c>
      <c r="I128" t="s">
        <v>732</v>
      </c>
      <c r="J128" t="s">
        <v>602</v>
      </c>
      <c r="K128">
        <v>92392</v>
      </c>
      <c r="L128" t="s">
        <v>899</v>
      </c>
      <c r="M128" t="s">
        <v>1025</v>
      </c>
      <c r="N128" t="s">
        <v>1193</v>
      </c>
      <c r="O128">
        <v>4221</v>
      </c>
      <c r="P128" t="s">
        <v>899</v>
      </c>
    </row>
    <row r="129" spans="1:16">
      <c r="A129" t="s">
        <v>143</v>
      </c>
      <c r="B129">
        <v>19</v>
      </c>
      <c r="C129">
        <v>19</v>
      </c>
      <c r="D129" t="s">
        <v>436</v>
      </c>
      <c r="E129" t="s">
        <v>602</v>
      </c>
      <c r="F129">
        <v>127495</v>
      </c>
      <c r="G129" t="s">
        <v>607</v>
      </c>
      <c r="H129">
        <f>F129-K129</f>
        <v>0</v>
      </c>
      <c r="I129" t="s">
        <v>733</v>
      </c>
      <c r="J129" t="s">
        <v>601</v>
      </c>
      <c r="K129">
        <v>71314</v>
      </c>
      <c r="L129" t="s">
        <v>899</v>
      </c>
      <c r="M129" t="s">
        <v>1026</v>
      </c>
      <c r="N129" t="s">
        <v>606</v>
      </c>
      <c r="O129">
        <v>25924</v>
      </c>
      <c r="P129" t="s">
        <v>899</v>
      </c>
    </row>
    <row r="130" spans="1:16">
      <c r="A130" t="s">
        <v>144</v>
      </c>
      <c r="B130">
        <v>19</v>
      </c>
      <c r="C130">
        <v>19</v>
      </c>
      <c r="D130" t="s">
        <v>437</v>
      </c>
      <c r="E130" t="s">
        <v>602</v>
      </c>
      <c r="F130">
        <v>146435</v>
      </c>
      <c r="G130" t="s">
        <v>607</v>
      </c>
      <c r="H130">
        <f>F130-K130</f>
        <v>0</v>
      </c>
      <c r="I130" t="s">
        <v>734</v>
      </c>
      <c r="J130" t="s">
        <v>601</v>
      </c>
      <c r="K130">
        <v>87159</v>
      </c>
      <c r="L130" t="s">
        <v>899</v>
      </c>
      <c r="M130" t="s">
        <v>1027</v>
      </c>
      <c r="N130" t="s">
        <v>605</v>
      </c>
      <c r="O130">
        <v>13361</v>
      </c>
      <c r="P130" t="s">
        <v>899</v>
      </c>
    </row>
    <row r="131" spans="1:16">
      <c r="A131" t="s">
        <v>145</v>
      </c>
      <c r="B131">
        <v>23</v>
      </c>
      <c r="C131">
        <v>23</v>
      </c>
      <c r="D131" t="s">
        <v>438</v>
      </c>
      <c r="E131" t="s">
        <v>602</v>
      </c>
      <c r="F131">
        <v>117164</v>
      </c>
      <c r="G131" t="s">
        <v>607</v>
      </c>
      <c r="H131">
        <f>F131-K131</f>
        <v>0</v>
      </c>
      <c r="I131" t="s">
        <v>735</v>
      </c>
      <c r="J131" t="s">
        <v>601</v>
      </c>
      <c r="K131">
        <v>112291</v>
      </c>
      <c r="L131" t="s">
        <v>899</v>
      </c>
      <c r="M131" t="s">
        <v>1028</v>
      </c>
      <c r="N131" t="s">
        <v>605</v>
      </c>
      <c r="O131">
        <v>11491</v>
      </c>
      <c r="P131" t="s">
        <v>899</v>
      </c>
    </row>
    <row r="132" spans="1:16">
      <c r="A132" t="s">
        <v>146</v>
      </c>
      <c r="B132">
        <v>22</v>
      </c>
      <c r="C132">
        <v>22</v>
      </c>
      <c r="D132" t="s">
        <v>439</v>
      </c>
      <c r="E132" t="s">
        <v>601</v>
      </c>
      <c r="F132">
        <v>109373</v>
      </c>
      <c r="G132" t="s">
        <v>607</v>
      </c>
      <c r="H132">
        <f>F132-K132</f>
        <v>0</v>
      </c>
      <c r="I132" t="s">
        <v>736</v>
      </c>
      <c r="J132" t="s">
        <v>602</v>
      </c>
      <c r="K132">
        <v>104613</v>
      </c>
      <c r="L132" t="s">
        <v>899</v>
      </c>
      <c r="M132" t="s">
        <v>1029</v>
      </c>
      <c r="N132" t="s">
        <v>605</v>
      </c>
      <c r="O132">
        <v>12129</v>
      </c>
      <c r="P132" t="s">
        <v>899</v>
      </c>
    </row>
    <row r="133" spans="1:16">
      <c r="A133" t="s">
        <v>147</v>
      </c>
      <c r="B133">
        <v>22</v>
      </c>
      <c r="C133">
        <v>22</v>
      </c>
      <c r="D133" t="s">
        <v>440</v>
      </c>
      <c r="E133" t="s">
        <v>601</v>
      </c>
      <c r="F133">
        <v>127802</v>
      </c>
      <c r="G133" t="s">
        <v>607</v>
      </c>
      <c r="H133">
        <f>F133-K133</f>
        <v>0</v>
      </c>
      <c r="I133" t="s">
        <v>737</v>
      </c>
      <c r="J133" t="s">
        <v>602</v>
      </c>
      <c r="K133">
        <v>119921</v>
      </c>
      <c r="L133" t="s">
        <v>899</v>
      </c>
      <c r="M133" t="s">
        <v>1030</v>
      </c>
      <c r="N133" t="s">
        <v>605</v>
      </c>
      <c r="O133">
        <v>7630</v>
      </c>
      <c r="P133" t="s">
        <v>899</v>
      </c>
    </row>
    <row r="134" spans="1:16">
      <c r="A134" t="s">
        <v>148</v>
      </c>
      <c r="B134">
        <v>19</v>
      </c>
      <c r="C134">
        <v>19</v>
      </c>
      <c r="D134" t="s">
        <v>441</v>
      </c>
      <c r="E134" t="s">
        <v>602</v>
      </c>
      <c r="F134">
        <v>91266</v>
      </c>
      <c r="G134" t="s">
        <v>607</v>
      </c>
      <c r="H134">
        <f>F134-K134</f>
        <v>0</v>
      </c>
      <c r="I134" t="s">
        <v>738</v>
      </c>
      <c r="J134" t="s">
        <v>601</v>
      </c>
      <c r="K134">
        <v>80883</v>
      </c>
      <c r="L134" t="s">
        <v>899</v>
      </c>
      <c r="M134" t="s">
        <v>1031</v>
      </c>
      <c r="N134" t="s">
        <v>606</v>
      </c>
      <c r="O134">
        <v>30052</v>
      </c>
      <c r="P134" t="s">
        <v>899</v>
      </c>
    </row>
    <row r="135" spans="1:16">
      <c r="A135" t="s">
        <v>149</v>
      </c>
      <c r="B135">
        <v>23</v>
      </c>
      <c r="C135">
        <v>18</v>
      </c>
      <c r="D135" t="s">
        <v>442</v>
      </c>
      <c r="E135" t="s">
        <v>602</v>
      </c>
      <c r="F135">
        <v>93881</v>
      </c>
      <c r="G135" t="s">
        <v>608</v>
      </c>
      <c r="H135">
        <f>F135-K135</f>
        <v>0</v>
      </c>
      <c r="I135" t="s">
        <v>739</v>
      </c>
      <c r="J135" t="s">
        <v>601</v>
      </c>
      <c r="K135">
        <v>86407</v>
      </c>
      <c r="L135" t="s">
        <v>900</v>
      </c>
      <c r="M135" t="s">
        <v>1032</v>
      </c>
      <c r="N135" t="s">
        <v>605</v>
      </c>
      <c r="O135">
        <v>17156</v>
      </c>
      <c r="P135" t="s">
        <v>900</v>
      </c>
    </row>
    <row r="136" spans="1:16">
      <c r="A136" t="s">
        <v>150</v>
      </c>
      <c r="B136">
        <v>20</v>
      </c>
      <c r="C136">
        <v>18</v>
      </c>
      <c r="D136" t="s">
        <v>443</v>
      </c>
      <c r="E136" t="s">
        <v>602</v>
      </c>
      <c r="F136">
        <v>85157</v>
      </c>
      <c r="G136" t="s">
        <v>608</v>
      </c>
      <c r="H136">
        <f>F136-K136</f>
        <v>0</v>
      </c>
      <c r="I136" t="s">
        <v>740</v>
      </c>
      <c r="J136" t="s">
        <v>601</v>
      </c>
      <c r="K136">
        <v>83956</v>
      </c>
      <c r="L136" t="s">
        <v>900</v>
      </c>
      <c r="M136" t="s">
        <v>1033</v>
      </c>
      <c r="N136" t="s">
        <v>606</v>
      </c>
      <c r="O136">
        <v>19483</v>
      </c>
      <c r="P136" t="s">
        <v>900</v>
      </c>
    </row>
    <row r="137" spans="1:16">
      <c r="A137" t="s">
        <v>151</v>
      </c>
      <c r="B137">
        <v>18</v>
      </c>
      <c r="C137">
        <v>18</v>
      </c>
      <c r="D137" t="s">
        <v>444</v>
      </c>
      <c r="E137" t="s">
        <v>602</v>
      </c>
      <c r="F137">
        <v>108050</v>
      </c>
      <c r="G137" t="s">
        <v>607</v>
      </c>
      <c r="H137">
        <f>F137-K137</f>
        <v>0</v>
      </c>
      <c r="I137" t="s">
        <v>741</v>
      </c>
      <c r="J137" t="s">
        <v>601</v>
      </c>
      <c r="K137">
        <v>81421</v>
      </c>
      <c r="L137" t="s">
        <v>899</v>
      </c>
      <c r="M137" t="s">
        <v>1034</v>
      </c>
      <c r="N137" t="s">
        <v>605</v>
      </c>
      <c r="O137">
        <v>18127</v>
      </c>
      <c r="P137" t="s">
        <v>899</v>
      </c>
    </row>
    <row r="138" spans="1:16">
      <c r="A138" t="s">
        <v>152</v>
      </c>
      <c r="B138">
        <v>18</v>
      </c>
      <c r="C138">
        <v>16</v>
      </c>
      <c r="D138" t="s">
        <v>445</v>
      </c>
      <c r="E138" t="s">
        <v>602</v>
      </c>
      <c r="F138">
        <v>109166</v>
      </c>
      <c r="G138" t="s">
        <v>608</v>
      </c>
      <c r="H138">
        <f>F138-K138</f>
        <v>0</v>
      </c>
      <c r="I138" t="s">
        <v>742</v>
      </c>
      <c r="J138" t="s">
        <v>601</v>
      </c>
      <c r="K138">
        <v>83335</v>
      </c>
      <c r="L138" t="s">
        <v>900</v>
      </c>
      <c r="M138" t="s">
        <v>1035</v>
      </c>
      <c r="N138" t="s">
        <v>605</v>
      </c>
      <c r="O138">
        <v>17622</v>
      </c>
      <c r="P138" t="s">
        <v>900</v>
      </c>
    </row>
    <row r="139" spans="1:16">
      <c r="A139" t="s">
        <v>153</v>
      </c>
      <c r="B139">
        <v>23</v>
      </c>
      <c r="C139">
        <v>23</v>
      </c>
      <c r="D139" t="s">
        <v>446</v>
      </c>
      <c r="E139" t="s">
        <v>602</v>
      </c>
      <c r="F139">
        <v>120548</v>
      </c>
      <c r="G139" t="s">
        <v>607</v>
      </c>
      <c r="H139">
        <f>F139-K139</f>
        <v>0</v>
      </c>
      <c r="I139" t="s">
        <v>743</v>
      </c>
      <c r="J139" t="s">
        <v>601</v>
      </c>
      <c r="K139">
        <v>79883</v>
      </c>
      <c r="L139" t="s">
        <v>899</v>
      </c>
      <c r="M139" t="s">
        <v>1036</v>
      </c>
      <c r="N139" t="s">
        <v>606</v>
      </c>
      <c r="O139">
        <v>23908</v>
      </c>
      <c r="P139" t="s">
        <v>899</v>
      </c>
    </row>
    <row r="140" spans="1:16">
      <c r="A140" t="s">
        <v>154</v>
      </c>
      <c r="B140">
        <v>22</v>
      </c>
      <c r="C140">
        <v>22</v>
      </c>
      <c r="D140" t="s">
        <v>447</v>
      </c>
      <c r="E140" t="s">
        <v>602</v>
      </c>
      <c r="F140">
        <v>148687</v>
      </c>
      <c r="G140" t="s">
        <v>607</v>
      </c>
      <c r="H140">
        <f>F140-K140</f>
        <v>0</v>
      </c>
      <c r="I140" t="s">
        <v>744</v>
      </c>
      <c r="J140" t="s">
        <v>606</v>
      </c>
      <c r="K140">
        <v>56733</v>
      </c>
      <c r="L140" t="s">
        <v>899</v>
      </c>
      <c r="M140" t="s">
        <v>1037</v>
      </c>
      <c r="N140" t="s">
        <v>601</v>
      </c>
      <c r="O140">
        <v>28593</v>
      </c>
      <c r="P140" t="s">
        <v>899</v>
      </c>
    </row>
    <row r="141" spans="1:16">
      <c r="A141" t="s">
        <v>155</v>
      </c>
      <c r="B141">
        <v>18</v>
      </c>
      <c r="C141">
        <v>18</v>
      </c>
      <c r="D141" t="s">
        <v>448</v>
      </c>
      <c r="E141" t="s">
        <v>602</v>
      </c>
      <c r="F141">
        <v>104781</v>
      </c>
      <c r="G141" t="s">
        <v>607</v>
      </c>
      <c r="H141">
        <f>F141-K141</f>
        <v>0</v>
      </c>
      <c r="I141" t="s">
        <v>745</v>
      </c>
      <c r="J141" t="s">
        <v>601</v>
      </c>
      <c r="K141">
        <v>86919</v>
      </c>
      <c r="L141" t="s">
        <v>899</v>
      </c>
      <c r="M141" t="s">
        <v>1038</v>
      </c>
      <c r="N141" t="s">
        <v>605</v>
      </c>
      <c r="O141">
        <v>23479</v>
      </c>
      <c r="P141" t="s">
        <v>899</v>
      </c>
    </row>
    <row r="142" spans="1:16">
      <c r="A142" t="s">
        <v>156</v>
      </c>
      <c r="B142">
        <v>21</v>
      </c>
      <c r="C142">
        <v>21</v>
      </c>
      <c r="D142" t="s">
        <v>449</v>
      </c>
      <c r="E142" t="s">
        <v>602</v>
      </c>
      <c r="F142">
        <v>108412</v>
      </c>
      <c r="G142" t="s">
        <v>607</v>
      </c>
      <c r="H142">
        <f>F142-K142</f>
        <v>0</v>
      </c>
      <c r="I142" t="s">
        <v>746</v>
      </c>
      <c r="J142" t="s">
        <v>601</v>
      </c>
      <c r="K142">
        <v>76805</v>
      </c>
      <c r="L142" t="s">
        <v>899</v>
      </c>
      <c r="M142" t="s">
        <v>1039</v>
      </c>
      <c r="N142" t="s">
        <v>605</v>
      </c>
      <c r="O142">
        <v>29188</v>
      </c>
      <c r="P142" t="s">
        <v>899</v>
      </c>
    </row>
    <row r="143" spans="1:16">
      <c r="A143" t="s">
        <v>157</v>
      </c>
      <c r="B143">
        <v>19</v>
      </c>
      <c r="C143">
        <v>16</v>
      </c>
      <c r="D143" t="s">
        <v>450</v>
      </c>
      <c r="E143" t="s">
        <v>602</v>
      </c>
      <c r="F143">
        <v>100474</v>
      </c>
      <c r="G143" t="s">
        <v>608</v>
      </c>
      <c r="H143">
        <f>F143-K143</f>
        <v>0</v>
      </c>
      <c r="I143" t="s">
        <v>747</v>
      </c>
      <c r="J143" t="s">
        <v>601</v>
      </c>
      <c r="K143">
        <v>45102</v>
      </c>
      <c r="L143" t="s">
        <v>900</v>
      </c>
      <c r="M143" t="s">
        <v>1040</v>
      </c>
      <c r="N143" t="s">
        <v>606</v>
      </c>
      <c r="O143">
        <v>27261</v>
      </c>
      <c r="P143" t="s">
        <v>900</v>
      </c>
    </row>
    <row r="144" spans="1:16">
      <c r="A144" t="s">
        <v>158</v>
      </c>
      <c r="B144">
        <v>22</v>
      </c>
      <c r="C144">
        <v>15</v>
      </c>
      <c r="D144" t="s">
        <v>451</v>
      </c>
      <c r="E144" t="s">
        <v>602</v>
      </c>
      <c r="F144">
        <v>91094</v>
      </c>
      <c r="G144" t="s">
        <v>608</v>
      </c>
      <c r="H144">
        <f>F144-K144</f>
        <v>0</v>
      </c>
      <c r="I144" t="s">
        <v>748</v>
      </c>
      <c r="J144" t="s">
        <v>601</v>
      </c>
      <c r="K144">
        <v>50391</v>
      </c>
      <c r="L144" t="s">
        <v>900</v>
      </c>
      <c r="M144" t="s">
        <v>1041</v>
      </c>
      <c r="N144" t="s">
        <v>605</v>
      </c>
      <c r="O144">
        <v>13644</v>
      </c>
      <c r="P144" t="s">
        <v>900</v>
      </c>
    </row>
    <row r="145" spans="1:16">
      <c r="A145" t="s">
        <v>159</v>
      </c>
      <c r="B145">
        <v>0</v>
      </c>
      <c r="C145">
        <v>0</v>
      </c>
      <c r="D145" t="s">
        <v>452</v>
      </c>
      <c r="E145" t="s">
        <v>603</v>
      </c>
      <c r="F145">
        <v>0</v>
      </c>
      <c r="G145" t="s">
        <v>608</v>
      </c>
      <c r="H145">
        <f>F145-K145</f>
        <v>0</v>
      </c>
      <c r="I145" t="s">
        <v>749</v>
      </c>
      <c r="J145" t="s">
        <v>602</v>
      </c>
      <c r="K145">
        <v>0</v>
      </c>
      <c r="L145" t="s">
        <v>900</v>
      </c>
      <c r="M145" t="s">
        <v>1042</v>
      </c>
      <c r="N145" t="s">
        <v>601</v>
      </c>
      <c r="O145">
        <v>0</v>
      </c>
      <c r="P145" t="s">
        <v>900</v>
      </c>
    </row>
    <row r="146" spans="1:16">
      <c r="A146" t="s">
        <v>160</v>
      </c>
      <c r="B146">
        <v>18</v>
      </c>
      <c r="C146">
        <v>17</v>
      </c>
      <c r="D146" t="s">
        <v>453</v>
      </c>
      <c r="E146" t="s">
        <v>601</v>
      </c>
      <c r="F146">
        <v>111016</v>
      </c>
      <c r="G146" t="s">
        <v>608</v>
      </c>
      <c r="H146">
        <f>F146-K146</f>
        <v>0</v>
      </c>
      <c r="I146" t="s">
        <v>750</v>
      </c>
      <c r="J146" t="s">
        <v>602</v>
      </c>
      <c r="K146">
        <v>109975</v>
      </c>
      <c r="L146" t="s">
        <v>900</v>
      </c>
      <c r="M146" t="s">
        <v>1043</v>
      </c>
      <c r="N146" t="s">
        <v>605</v>
      </c>
      <c r="O146">
        <v>11718</v>
      </c>
      <c r="P146" t="s">
        <v>900</v>
      </c>
    </row>
    <row r="147" spans="1:16">
      <c r="A147" t="s">
        <v>161</v>
      </c>
      <c r="B147">
        <v>24</v>
      </c>
      <c r="C147">
        <v>24</v>
      </c>
      <c r="D147" t="s">
        <v>454</v>
      </c>
      <c r="E147" t="s">
        <v>602</v>
      </c>
      <c r="F147">
        <v>132647</v>
      </c>
      <c r="G147" t="s">
        <v>607</v>
      </c>
      <c r="H147">
        <f>F147-K147</f>
        <v>0</v>
      </c>
      <c r="I147" t="s">
        <v>751</v>
      </c>
      <c r="J147" t="s">
        <v>601</v>
      </c>
      <c r="K147">
        <v>95722</v>
      </c>
      <c r="L147" t="s">
        <v>899</v>
      </c>
      <c r="M147" t="s">
        <v>1044</v>
      </c>
      <c r="N147" t="s">
        <v>605</v>
      </c>
      <c r="O147">
        <v>13338</v>
      </c>
      <c r="P147" t="s">
        <v>899</v>
      </c>
    </row>
    <row r="148" spans="1:16">
      <c r="A148" t="s">
        <v>162</v>
      </c>
      <c r="B148">
        <v>21</v>
      </c>
      <c r="C148">
        <v>21</v>
      </c>
      <c r="D148" t="s">
        <v>455</v>
      </c>
      <c r="E148" t="s">
        <v>601</v>
      </c>
      <c r="F148">
        <v>128682</v>
      </c>
      <c r="G148" t="s">
        <v>607</v>
      </c>
      <c r="H148">
        <f>F148-K148</f>
        <v>0</v>
      </c>
      <c r="I148" t="s">
        <v>752</v>
      </c>
      <c r="J148" t="s">
        <v>602</v>
      </c>
      <c r="K148">
        <v>92969</v>
      </c>
      <c r="L148" t="s">
        <v>899</v>
      </c>
      <c r="M148" t="s">
        <v>1045</v>
      </c>
      <c r="N148" t="s">
        <v>1197</v>
      </c>
      <c r="O148">
        <v>16751</v>
      </c>
      <c r="P148" t="s">
        <v>899</v>
      </c>
    </row>
    <row r="149" spans="1:16">
      <c r="A149" t="s">
        <v>163</v>
      </c>
      <c r="B149">
        <v>18</v>
      </c>
      <c r="C149">
        <v>18</v>
      </c>
      <c r="D149" t="s">
        <v>456</v>
      </c>
      <c r="E149" t="s">
        <v>606</v>
      </c>
      <c r="F149">
        <v>126555</v>
      </c>
      <c r="G149" t="s">
        <v>607</v>
      </c>
      <c r="H149">
        <f>F149-K149</f>
        <v>0</v>
      </c>
      <c r="I149" t="s">
        <v>753</v>
      </c>
      <c r="J149" t="s">
        <v>602</v>
      </c>
      <c r="K149">
        <v>94467</v>
      </c>
      <c r="L149" t="s">
        <v>899</v>
      </c>
      <c r="M149" t="s">
        <v>1046</v>
      </c>
      <c r="N149" t="s">
        <v>601</v>
      </c>
      <c r="O149">
        <v>30177</v>
      </c>
      <c r="P149" t="s">
        <v>899</v>
      </c>
    </row>
    <row r="150" spans="1:16">
      <c r="A150" t="s">
        <v>164</v>
      </c>
      <c r="B150">
        <v>23</v>
      </c>
      <c r="C150">
        <v>23</v>
      </c>
      <c r="D150" t="s">
        <v>457</v>
      </c>
      <c r="E150" t="s">
        <v>602</v>
      </c>
      <c r="F150">
        <v>117893</v>
      </c>
      <c r="G150" t="s">
        <v>607</v>
      </c>
      <c r="H150">
        <f>F150-K150</f>
        <v>0</v>
      </c>
      <c r="I150" t="s">
        <v>754</v>
      </c>
      <c r="J150" t="s">
        <v>601</v>
      </c>
      <c r="K150">
        <v>96919</v>
      </c>
      <c r="L150" t="s">
        <v>899</v>
      </c>
      <c r="M150" t="s">
        <v>1047</v>
      </c>
      <c r="N150" t="s">
        <v>605</v>
      </c>
      <c r="O150">
        <v>20042</v>
      </c>
      <c r="P150" t="s">
        <v>899</v>
      </c>
    </row>
    <row r="151" spans="1:16">
      <c r="A151" t="s">
        <v>165</v>
      </c>
      <c r="B151">
        <v>26</v>
      </c>
      <c r="C151">
        <v>22</v>
      </c>
      <c r="D151" t="s">
        <v>458</v>
      </c>
      <c r="E151" t="s">
        <v>601</v>
      </c>
      <c r="F151">
        <v>92412</v>
      </c>
      <c r="G151" t="s">
        <v>608</v>
      </c>
      <c r="H151">
        <f>F151-K151</f>
        <v>0</v>
      </c>
      <c r="I151" t="s">
        <v>755</v>
      </c>
      <c r="J151" t="s">
        <v>602</v>
      </c>
      <c r="K151">
        <v>69307</v>
      </c>
      <c r="L151" t="s">
        <v>900</v>
      </c>
      <c r="M151" t="s">
        <v>1048</v>
      </c>
      <c r="N151" t="s">
        <v>605</v>
      </c>
      <c r="O151">
        <v>35450</v>
      </c>
      <c r="P151" t="s">
        <v>900</v>
      </c>
    </row>
    <row r="152" spans="1:16">
      <c r="A152" t="s">
        <v>166</v>
      </c>
      <c r="B152">
        <v>22</v>
      </c>
      <c r="C152">
        <v>22</v>
      </c>
      <c r="D152" t="s">
        <v>459</v>
      </c>
      <c r="E152" t="s">
        <v>601</v>
      </c>
      <c r="F152">
        <v>119824</v>
      </c>
      <c r="G152" t="s">
        <v>607</v>
      </c>
      <c r="H152">
        <f>F152-K152</f>
        <v>0</v>
      </c>
      <c r="I152" t="s">
        <v>756</v>
      </c>
      <c r="J152" t="s">
        <v>602</v>
      </c>
      <c r="K152">
        <v>110017</v>
      </c>
      <c r="L152" t="s">
        <v>899</v>
      </c>
      <c r="M152" t="s">
        <v>1049</v>
      </c>
      <c r="N152" t="s">
        <v>605</v>
      </c>
      <c r="O152">
        <v>19744</v>
      </c>
      <c r="P152" t="s">
        <v>899</v>
      </c>
    </row>
    <row r="153" spans="1:16">
      <c r="A153" t="s">
        <v>167</v>
      </c>
      <c r="B153">
        <v>17</v>
      </c>
      <c r="C153">
        <v>16</v>
      </c>
      <c r="D153" t="s">
        <v>460</v>
      </c>
      <c r="E153" t="s">
        <v>601</v>
      </c>
      <c r="F153">
        <v>88146</v>
      </c>
      <c r="G153" t="s">
        <v>608</v>
      </c>
      <c r="H153">
        <f>F153-K153</f>
        <v>0</v>
      </c>
      <c r="I153" t="s">
        <v>757</v>
      </c>
      <c r="J153" t="s">
        <v>602</v>
      </c>
      <c r="K153">
        <v>82072</v>
      </c>
      <c r="L153" t="s">
        <v>900</v>
      </c>
      <c r="M153" t="s">
        <v>1050</v>
      </c>
      <c r="N153" t="s">
        <v>605</v>
      </c>
      <c r="O153">
        <v>30237</v>
      </c>
      <c r="P153" t="s">
        <v>900</v>
      </c>
    </row>
    <row r="154" spans="1:16">
      <c r="A154" t="s">
        <v>168</v>
      </c>
      <c r="B154">
        <v>23</v>
      </c>
      <c r="C154">
        <v>23</v>
      </c>
      <c r="D154" t="s">
        <v>461</v>
      </c>
      <c r="E154" t="s">
        <v>601</v>
      </c>
      <c r="F154">
        <v>115502</v>
      </c>
      <c r="G154" t="s">
        <v>607</v>
      </c>
      <c r="H154">
        <f>F154-K154</f>
        <v>0</v>
      </c>
      <c r="I154" t="s">
        <v>758</v>
      </c>
      <c r="J154" t="s">
        <v>602</v>
      </c>
      <c r="K154">
        <v>90365</v>
      </c>
      <c r="L154" t="s">
        <v>899</v>
      </c>
      <c r="M154" t="s">
        <v>1051</v>
      </c>
      <c r="N154" t="s">
        <v>605</v>
      </c>
      <c r="O154">
        <v>21991</v>
      </c>
      <c r="P154" t="s">
        <v>899</v>
      </c>
    </row>
    <row r="155" spans="1:16">
      <c r="A155" t="s">
        <v>169</v>
      </c>
      <c r="B155">
        <v>26</v>
      </c>
      <c r="C155">
        <v>26</v>
      </c>
      <c r="D155" t="s">
        <v>462</v>
      </c>
      <c r="E155" t="s">
        <v>601</v>
      </c>
      <c r="F155">
        <v>113171</v>
      </c>
      <c r="G155" t="s">
        <v>607</v>
      </c>
      <c r="H155">
        <f>F155-K155</f>
        <v>0</v>
      </c>
      <c r="I155" t="s">
        <v>759</v>
      </c>
      <c r="J155" t="s">
        <v>602</v>
      </c>
      <c r="K155">
        <v>88472</v>
      </c>
      <c r="L155" t="s">
        <v>899</v>
      </c>
      <c r="M155" t="s">
        <v>1052</v>
      </c>
      <c r="N155" t="s">
        <v>605</v>
      </c>
      <c r="O155">
        <v>30676</v>
      </c>
      <c r="P155" t="s">
        <v>899</v>
      </c>
    </row>
    <row r="156" spans="1:16">
      <c r="A156" t="s">
        <v>170</v>
      </c>
      <c r="B156">
        <v>17</v>
      </c>
      <c r="C156">
        <v>17</v>
      </c>
      <c r="D156" t="s">
        <v>463</v>
      </c>
      <c r="E156" t="s">
        <v>602</v>
      </c>
      <c r="F156">
        <v>116811</v>
      </c>
      <c r="G156" t="s">
        <v>607</v>
      </c>
      <c r="H156">
        <f>F156-K156</f>
        <v>0</v>
      </c>
      <c r="I156" t="s">
        <v>760</v>
      </c>
      <c r="J156" t="s">
        <v>601</v>
      </c>
      <c r="K156">
        <v>83898</v>
      </c>
      <c r="L156" t="s">
        <v>899</v>
      </c>
      <c r="M156" t="s">
        <v>1053</v>
      </c>
      <c r="N156" t="s">
        <v>605</v>
      </c>
      <c r="O156">
        <v>21222</v>
      </c>
      <c r="P156" t="s">
        <v>899</v>
      </c>
    </row>
    <row r="157" spans="1:16">
      <c r="A157" t="s">
        <v>171</v>
      </c>
      <c r="B157">
        <v>12</v>
      </c>
      <c r="C157">
        <v>12</v>
      </c>
      <c r="D157" t="s">
        <v>464</v>
      </c>
      <c r="E157" t="s">
        <v>602</v>
      </c>
      <c r="F157">
        <v>127091</v>
      </c>
      <c r="G157" t="s">
        <v>607</v>
      </c>
      <c r="H157">
        <f>F157-K157</f>
        <v>0</v>
      </c>
      <c r="I157" t="s">
        <v>761</v>
      </c>
      <c r="J157" t="s">
        <v>601</v>
      </c>
      <c r="K157">
        <v>80241</v>
      </c>
      <c r="L157" t="s">
        <v>899</v>
      </c>
      <c r="M157" t="s">
        <v>1054</v>
      </c>
      <c r="N157" t="s">
        <v>603</v>
      </c>
      <c r="O157">
        <v>5323</v>
      </c>
      <c r="P157" t="s">
        <v>899</v>
      </c>
    </row>
    <row r="158" spans="1:16">
      <c r="A158" t="s">
        <v>172</v>
      </c>
      <c r="B158">
        <v>11</v>
      </c>
      <c r="C158">
        <v>11</v>
      </c>
      <c r="D158" t="s">
        <v>465</v>
      </c>
      <c r="E158" t="s">
        <v>602</v>
      </c>
      <c r="F158">
        <v>124230</v>
      </c>
      <c r="G158" t="s">
        <v>607</v>
      </c>
      <c r="H158">
        <f>F158-K158</f>
        <v>0</v>
      </c>
      <c r="I158" t="s">
        <v>762</v>
      </c>
      <c r="J158" t="s">
        <v>601</v>
      </c>
      <c r="K158">
        <v>36351</v>
      </c>
      <c r="L158" t="s">
        <v>899</v>
      </c>
      <c r="M158" t="s">
        <v>1055</v>
      </c>
      <c r="N158" t="s">
        <v>605</v>
      </c>
      <c r="O158">
        <v>9567</v>
      </c>
      <c r="P158" t="s">
        <v>899</v>
      </c>
    </row>
    <row r="159" spans="1:16">
      <c r="A159" t="s">
        <v>173</v>
      </c>
      <c r="B159">
        <v>19</v>
      </c>
      <c r="C159">
        <v>19</v>
      </c>
      <c r="D159" t="s">
        <v>466</v>
      </c>
      <c r="E159" t="s">
        <v>602</v>
      </c>
      <c r="F159">
        <v>101226</v>
      </c>
      <c r="G159" t="s">
        <v>607</v>
      </c>
      <c r="H159">
        <f>F159-K159</f>
        <v>0</v>
      </c>
      <c r="I159" t="s">
        <v>763</v>
      </c>
      <c r="J159" t="s">
        <v>601</v>
      </c>
      <c r="K159">
        <v>45146</v>
      </c>
      <c r="L159" t="s">
        <v>899</v>
      </c>
      <c r="M159" t="s">
        <v>1056</v>
      </c>
      <c r="N159" t="s">
        <v>605</v>
      </c>
      <c r="O159">
        <v>2571</v>
      </c>
      <c r="P159" t="s">
        <v>899</v>
      </c>
    </row>
    <row r="160" spans="1:16">
      <c r="A160" t="s">
        <v>174</v>
      </c>
      <c r="B160">
        <v>20</v>
      </c>
      <c r="C160">
        <v>17</v>
      </c>
      <c r="D160" t="s">
        <v>467</v>
      </c>
      <c r="E160" t="s">
        <v>601</v>
      </c>
      <c r="F160">
        <v>60954</v>
      </c>
      <c r="G160" t="s">
        <v>608</v>
      </c>
      <c r="H160">
        <f>F160-K160</f>
        <v>0</v>
      </c>
      <c r="I160" t="s">
        <v>764</v>
      </c>
      <c r="J160" t="s">
        <v>602</v>
      </c>
      <c r="K160">
        <v>54728</v>
      </c>
      <c r="L160" t="s">
        <v>900</v>
      </c>
      <c r="M160" t="s">
        <v>1057</v>
      </c>
      <c r="N160" t="s">
        <v>605</v>
      </c>
      <c r="O160">
        <v>2820</v>
      </c>
      <c r="P160" t="s">
        <v>900</v>
      </c>
    </row>
    <row r="161" spans="1:16">
      <c r="A161" t="s">
        <v>175</v>
      </c>
      <c r="B161">
        <v>20</v>
      </c>
      <c r="C161">
        <v>20</v>
      </c>
      <c r="D161" t="s">
        <v>468</v>
      </c>
      <c r="E161" t="s">
        <v>601</v>
      </c>
      <c r="F161">
        <v>74123</v>
      </c>
      <c r="G161" t="s">
        <v>607</v>
      </c>
      <c r="H161">
        <f>F161-K161</f>
        <v>0</v>
      </c>
      <c r="I161" t="s">
        <v>765</v>
      </c>
      <c r="J161" t="s">
        <v>602</v>
      </c>
      <c r="K161">
        <v>53258</v>
      </c>
      <c r="L161" t="s">
        <v>899</v>
      </c>
      <c r="M161" t="s">
        <v>1058</v>
      </c>
      <c r="N161" t="s">
        <v>1196</v>
      </c>
      <c r="O161">
        <v>5618</v>
      </c>
      <c r="P161" t="s">
        <v>899</v>
      </c>
    </row>
    <row r="162" spans="1:16">
      <c r="A162" t="s">
        <v>176</v>
      </c>
      <c r="B162">
        <v>16</v>
      </c>
      <c r="C162">
        <v>16</v>
      </c>
      <c r="D162" t="s">
        <v>469</v>
      </c>
      <c r="E162" t="s">
        <v>602</v>
      </c>
      <c r="F162">
        <v>108481</v>
      </c>
      <c r="G162" t="s">
        <v>607</v>
      </c>
      <c r="H162">
        <f>F162-K162</f>
        <v>0</v>
      </c>
      <c r="I162" t="s">
        <v>766</v>
      </c>
      <c r="J162" t="s">
        <v>601</v>
      </c>
      <c r="K162">
        <v>47005</v>
      </c>
      <c r="L162" t="s">
        <v>899</v>
      </c>
      <c r="M162" t="s">
        <v>1059</v>
      </c>
      <c r="N162" t="s">
        <v>605</v>
      </c>
      <c r="O162">
        <v>7185</v>
      </c>
      <c r="P162" t="s">
        <v>899</v>
      </c>
    </row>
    <row r="163" spans="1:16">
      <c r="A163" t="s">
        <v>177</v>
      </c>
      <c r="B163">
        <v>21</v>
      </c>
      <c r="C163">
        <v>21</v>
      </c>
      <c r="D163" t="s">
        <v>470</v>
      </c>
      <c r="E163" t="s">
        <v>602</v>
      </c>
      <c r="F163">
        <v>62938</v>
      </c>
      <c r="G163" t="s">
        <v>607</v>
      </c>
      <c r="H163">
        <f>F163-K163</f>
        <v>0</v>
      </c>
      <c r="I163" t="s">
        <v>767</v>
      </c>
      <c r="J163" t="s">
        <v>601</v>
      </c>
      <c r="K163">
        <v>40936</v>
      </c>
      <c r="L163" t="s">
        <v>899</v>
      </c>
      <c r="M163" t="s">
        <v>1060</v>
      </c>
      <c r="N163" t="s">
        <v>605</v>
      </c>
      <c r="O163">
        <v>2602</v>
      </c>
      <c r="P163" t="s">
        <v>899</v>
      </c>
    </row>
    <row r="164" spans="1:16">
      <c r="A164" t="s">
        <v>178</v>
      </c>
      <c r="B164">
        <v>21</v>
      </c>
      <c r="C164">
        <v>21</v>
      </c>
      <c r="D164" t="s">
        <v>471</v>
      </c>
      <c r="E164" t="s">
        <v>602</v>
      </c>
      <c r="F164">
        <v>94427</v>
      </c>
      <c r="G164" t="s">
        <v>607</v>
      </c>
      <c r="H164">
        <f>F164-K164</f>
        <v>0</v>
      </c>
      <c r="I164" t="s">
        <v>768</v>
      </c>
      <c r="J164" t="s">
        <v>601</v>
      </c>
      <c r="K164">
        <v>60421</v>
      </c>
      <c r="L164" t="s">
        <v>899</v>
      </c>
      <c r="M164" t="s">
        <v>1061</v>
      </c>
      <c r="N164" t="s">
        <v>605</v>
      </c>
      <c r="O164">
        <v>4904</v>
      </c>
      <c r="P164" t="s">
        <v>899</v>
      </c>
    </row>
    <row r="165" spans="1:16">
      <c r="A165" t="s">
        <v>179</v>
      </c>
      <c r="B165">
        <v>23</v>
      </c>
      <c r="C165">
        <v>23</v>
      </c>
      <c r="D165" t="s">
        <v>472</v>
      </c>
      <c r="E165" t="s">
        <v>602</v>
      </c>
      <c r="F165">
        <v>93757</v>
      </c>
      <c r="G165" t="s">
        <v>607</v>
      </c>
      <c r="H165">
        <f>F165-K165</f>
        <v>0</v>
      </c>
      <c r="I165" t="s">
        <v>769</v>
      </c>
      <c r="J165" t="s">
        <v>601</v>
      </c>
      <c r="K165">
        <v>65181</v>
      </c>
      <c r="L165" t="s">
        <v>899</v>
      </c>
      <c r="M165" t="s">
        <v>1062</v>
      </c>
      <c r="N165" t="s">
        <v>605</v>
      </c>
      <c r="O165">
        <v>10525</v>
      </c>
      <c r="P165" t="s">
        <v>899</v>
      </c>
    </row>
    <row r="166" spans="1:16">
      <c r="A166" t="s">
        <v>180</v>
      </c>
      <c r="B166">
        <v>22</v>
      </c>
      <c r="C166">
        <v>22</v>
      </c>
      <c r="D166" t="s">
        <v>473</v>
      </c>
      <c r="E166" t="s">
        <v>601</v>
      </c>
      <c r="F166">
        <v>52868</v>
      </c>
      <c r="G166" t="s">
        <v>607</v>
      </c>
      <c r="H166">
        <f>F166-K166</f>
        <v>0</v>
      </c>
      <c r="I166" t="s">
        <v>770</v>
      </c>
      <c r="J166" t="s">
        <v>602</v>
      </c>
      <c r="K166">
        <v>47071</v>
      </c>
      <c r="L166" t="s">
        <v>899</v>
      </c>
      <c r="M166" t="s">
        <v>1063</v>
      </c>
      <c r="N166" t="s">
        <v>605</v>
      </c>
      <c r="O166">
        <v>4108</v>
      </c>
      <c r="P166" t="s">
        <v>899</v>
      </c>
    </row>
    <row r="167" spans="1:16">
      <c r="A167" t="s">
        <v>181</v>
      </c>
      <c r="B167">
        <v>21</v>
      </c>
      <c r="C167">
        <v>21</v>
      </c>
      <c r="D167" t="s">
        <v>474</v>
      </c>
      <c r="E167" t="s">
        <v>601</v>
      </c>
      <c r="F167">
        <v>60248</v>
      </c>
      <c r="G167" t="s">
        <v>607</v>
      </c>
      <c r="H167">
        <f>F167-K167</f>
        <v>0</v>
      </c>
      <c r="I167" t="s">
        <v>771</v>
      </c>
      <c r="J167" t="s">
        <v>602</v>
      </c>
      <c r="K167">
        <v>45615</v>
      </c>
      <c r="L167" t="s">
        <v>899</v>
      </c>
      <c r="M167" t="s">
        <v>1064</v>
      </c>
      <c r="N167" t="s">
        <v>1192</v>
      </c>
      <c r="O167">
        <v>7356</v>
      </c>
      <c r="P167" t="s">
        <v>899</v>
      </c>
    </row>
    <row r="168" spans="1:16">
      <c r="A168" t="s">
        <v>182</v>
      </c>
      <c r="B168">
        <v>20</v>
      </c>
      <c r="C168">
        <v>20</v>
      </c>
      <c r="D168" t="s">
        <v>475</v>
      </c>
      <c r="E168" t="s">
        <v>601</v>
      </c>
      <c r="F168">
        <v>76370</v>
      </c>
      <c r="G168" t="s">
        <v>607</v>
      </c>
      <c r="H168">
        <f>F168-K168</f>
        <v>0</v>
      </c>
      <c r="I168" t="s">
        <v>772</v>
      </c>
      <c r="J168" t="s">
        <v>602</v>
      </c>
      <c r="K168">
        <v>60726</v>
      </c>
      <c r="L168" t="s">
        <v>899</v>
      </c>
      <c r="M168" t="s">
        <v>1065</v>
      </c>
      <c r="N168" t="s">
        <v>1197</v>
      </c>
      <c r="O168">
        <v>9014</v>
      </c>
      <c r="P168" t="s">
        <v>899</v>
      </c>
    </row>
    <row r="169" spans="1:16">
      <c r="A169" t="s">
        <v>183</v>
      </c>
      <c r="B169">
        <v>21</v>
      </c>
      <c r="C169">
        <v>21</v>
      </c>
      <c r="D169" t="s">
        <v>476</v>
      </c>
      <c r="E169" t="s">
        <v>601</v>
      </c>
      <c r="F169">
        <v>68368</v>
      </c>
      <c r="G169" t="s">
        <v>607</v>
      </c>
      <c r="H169">
        <f>F169-K169</f>
        <v>0</v>
      </c>
      <c r="I169" t="s">
        <v>773</v>
      </c>
      <c r="J169" t="s">
        <v>602</v>
      </c>
      <c r="K169">
        <v>66717</v>
      </c>
      <c r="L169" t="s">
        <v>899</v>
      </c>
      <c r="M169" t="s">
        <v>1066</v>
      </c>
      <c r="N169" t="s">
        <v>605</v>
      </c>
      <c r="O169">
        <v>11151</v>
      </c>
      <c r="P169" t="s">
        <v>899</v>
      </c>
    </row>
    <row r="170" spans="1:16">
      <c r="A170" t="s">
        <v>184</v>
      </c>
      <c r="B170">
        <v>15</v>
      </c>
      <c r="C170">
        <v>11</v>
      </c>
      <c r="D170" t="s">
        <v>477</v>
      </c>
      <c r="E170" t="s">
        <v>601</v>
      </c>
      <c r="F170">
        <v>44482</v>
      </c>
      <c r="G170" t="s">
        <v>608</v>
      </c>
      <c r="H170">
        <f>F170-K170</f>
        <v>0</v>
      </c>
      <c r="I170" t="s">
        <v>774</v>
      </c>
      <c r="J170" t="s">
        <v>602</v>
      </c>
      <c r="K170">
        <v>34261</v>
      </c>
      <c r="L170" t="s">
        <v>900</v>
      </c>
      <c r="M170" t="s">
        <v>1067</v>
      </c>
      <c r="N170" t="s">
        <v>605</v>
      </c>
      <c r="O170">
        <v>9794</v>
      </c>
      <c r="P170" t="s">
        <v>900</v>
      </c>
    </row>
    <row r="171" spans="1:16">
      <c r="A171" t="s">
        <v>185</v>
      </c>
      <c r="B171">
        <v>18</v>
      </c>
      <c r="C171">
        <v>18</v>
      </c>
      <c r="D171" t="s">
        <v>478</v>
      </c>
      <c r="E171" t="s">
        <v>601</v>
      </c>
      <c r="F171">
        <v>67539</v>
      </c>
      <c r="G171" t="s">
        <v>607</v>
      </c>
      <c r="H171">
        <f>F171-K171</f>
        <v>0</v>
      </c>
      <c r="I171" t="s">
        <v>775</v>
      </c>
      <c r="J171" t="s">
        <v>602</v>
      </c>
      <c r="K171">
        <v>56289</v>
      </c>
      <c r="L171" t="s">
        <v>899</v>
      </c>
      <c r="M171" t="s">
        <v>1068</v>
      </c>
      <c r="N171" t="s">
        <v>605</v>
      </c>
      <c r="O171">
        <v>5997</v>
      </c>
      <c r="P171" t="s">
        <v>899</v>
      </c>
    </row>
    <row r="172" spans="1:16">
      <c r="A172" t="s">
        <v>186</v>
      </c>
      <c r="B172">
        <v>17</v>
      </c>
      <c r="C172">
        <v>17</v>
      </c>
      <c r="D172" t="s">
        <v>479</v>
      </c>
      <c r="E172" t="s">
        <v>602</v>
      </c>
      <c r="F172">
        <v>95948</v>
      </c>
      <c r="G172" t="s">
        <v>607</v>
      </c>
      <c r="H172">
        <f>F172-K172</f>
        <v>0</v>
      </c>
      <c r="I172" t="s">
        <v>776</v>
      </c>
      <c r="J172" t="s">
        <v>601</v>
      </c>
      <c r="K172">
        <v>79865</v>
      </c>
      <c r="L172" t="s">
        <v>899</v>
      </c>
      <c r="M172" t="s">
        <v>1069</v>
      </c>
      <c r="N172" t="s">
        <v>605</v>
      </c>
      <c r="O172">
        <v>11280</v>
      </c>
      <c r="P172" t="s">
        <v>899</v>
      </c>
    </row>
    <row r="173" spans="1:16">
      <c r="A173" t="s">
        <v>187</v>
      </c>
      <c r="B173">
        <v>20</v>
      </c>
      <c r="C173">
        <v>20</v>
      </c>
      <c r="D173" t="s">
        <v>480</v>
      </c>
      <c r="E173" t="s">
        <v>601</v>
      </c>
      <c r="F173">
        <v>89615</v>
      </c>
      <c r="G173" t="s">
        <v>607</v>
      </c>
      <c r="H173">
        <f>F173-K173</f>
        <v>0</v>
      </c>
      <c r="I173" t="s">
        <v>777</v>
      </c>
      <c r="J173" t="s">
        <v>602</v>
      </c>
      <c r="K173">
        <v>73557</v>
      </c>
      <c r="L173" t="s">
        <v>899</v>
      </c>
      <c r="M173" t="s">
        <v>1070</v>
      </c>
      <c r="N173" t="s">
        <v>1192</v>
      </c>
      <c r="O173">
        <v>12542</v>
      </c>
      <c r="P173" t="s">
        <v>899</v>
      </c>
    </row>
    <row r="174" spans="1:16">
      <c r="A174" t="s">
        <v>188</v>
      </c>
      <c r="B174">
        <v>22</v>
      </c>
      <c r="C174">
        <v>22</v>
      </c>
      <c r="D174" t="s">
        <v>481</v>
      </c>
      <c r="E174" t="s">
        <v>602</v>
      </c>
      <c r="F174">
        <v>100540</v>
      </c>
      <c r="G174" t="s">
        <v>607</v>
      </c>
      <c r="H174">
        <f>F174-K174</f>
        <v>0</v>
      </c>
      <c r="I174" t="s">
        <v>778</v>
      </c>
      <c r="J174" t="s">
        <v>601</v>
      </c>
      <c r="K174">
        <v>92712</v>
      </c>
      <c r="L174" t="s">
        <v>899</v>
      </c>
      <c r="M174" t="s">
        <v>1071</v>
      </c>
      <c r="N174" t="s">
        <v>605</v>
      </c>
      <c r="O174">
        <v>21598</v>
      </c>
      <c r="P174" t="s">
        <v>899</v>
      </c>
    </row>
    <row r="175" spans="1:16">
      <c r="A175" t="s">
        <v>189</v>
      </c>
      <c r="B175">
        <v>22</v>
      </c>
      <c r="C175">
        <v>22</v>
      </c>
      <c r="D175" t="s">
        <v>482</v>
      </c>
      <c r="E175" t="s">
        <v>602</v>
      </c>
      <c r="F175">
        <v>105412</v>
      </c>
      <c r="G175" t="s">
        <v>607</v>
      </c>
      <c r="H175">
        <f>F175-K175</f>
        <v>0</v>
      </c>
      <c r="I175" t="s">
        <v>779</v>
      </c>
      <c r="J175" t="s">
        <v>601</v>
      </c>
      <c r="K175">
        <v>88672</v>
      </c>
      <c r="L175" t="s">
        <v>899</v>
      </c>
      <c r="M175" t="s">
        <v>1072</v>
      </c>
      <c r="N175" t="s">
        <v>605</v>
      </c>
      <c r="O175">
        <v>29178</v>
      </c>
      <c r="P175" t="s">
        <v>899</v>
      </c>
    </row>
    <row r="176" spans="1:16">
      <c r="A176" t="s">
        <v>190</v>
      </c>
      <c r="B176">
        <v>18</v>
      </c>
      <c r="C176">
        <v>18</v>
      </c>
      <c r="D176" t="s">
        <v>483</v>
      </c>
      <c r="E176" t="s">
        <v>602</v>
      </c>
      <c r="F176">
        <v>123967</v>
      </c>
      <c r="G176" t="s">
        <v>607</v>
      </c>
      <c r="H176">
        <f>F176-K176</f>
        <v>0</v>
      </c>
      <c r="I176" t="s">
        <v>780</v>
      </c>
      <c r="J176" t="s">
        <v>601</v>
      </c>
      <c r="K176">
        <v>85647</v>
      </c>
      <c r="L176" t="s">
        <v>899</v>
      </c>
      <c r="M176" t="s">
        <v>1073</v>
      </c>
      <c r="N176" t="s">
        <v>1192</v>
      </c>
      <c r="O176">
        <v>20644</v>
      </c>
      <c r="P176" t="s">
        <v>899</v>
      </c>
    </row>
    <row r="177" spans="1:16">
      <c r="A177" t="s">
        <v>191</v>
      </c>
      <c r="B177">
        <v>16</v>
      </c>
      <c r="C177">
        <v>16</v>
      </c>
      <c r="D177" t="s">
        <v>484</v>
      </c>
      <c r="E177" t="s">
        <v>602</v>
      </c>
      <c r="F177">
        <v>95633</v>
      </c>
      <c r="G177" t="s">
        <v>607</v>
      </c>
      <c r="H177">
        <f>F177-K177</f>
        <v>0</v>
      </c>
      <c r="I177" t="s">
        <v>781</v>
      </c>
      <c r="J177" t="s">
        <v>601</v>
      </c>
      <c r="K177">
        <v>83795</v>
      </c>
      <c r="L177" t="s">
        <v>899</v>
      </c>
      <c r="M177" t="s">
        <v>1074</v>
      </c>
      <c r="N177" t="s">
        <v>606</v>
      </c>
      <c r="O177">
        <v>21909</v>
      </c>
      <c r="P177" t="s">
        <v>899</v>
      </c>
    </row>
    <row r="178" spans="1:16">
      <c r="A178" t="s">
        <v>192</v>
      </c>
      <c r="B178">
        <v>21</v>
      </c>
      <c r="C178">
        <v>21</v>
      </c>
      <c r="D178" t="s">
        <v>485</v>
      </c>
      <c r="E178" t="s">
        <v>601</v>
      </c>
      <c r="F178">
        <v>93320</v>
      </c>
      <c r="G178" t="s">
        <v>607</v>
      </c>
      <c r="H178">
        <f>F178-K178</f>
        <v>0</v>
      </c>
      <c r="I178" t="s">
        <v>782</v>
      </c>
      <c r="J178" t="s">
        <v>602</v>
      </c>
      <c r="K178">
        <v>89143</v>
      </c>
      <c r="L178" t="s">
        <v>899</v>
      </c>
      <c r="M178" t="s">
        <v>1075</v>
      </c>
      <c r="N178" t="s">
        <v>605</v>
      </c>
      <c r="O178">
        <v>14720</v>
      </c>
      <c r="P178" t="s">
        <v>899</v>
      </c>
    </row>
    <row r="179" spans="1:16">
      <c r="A179" t="s">
        <v>193</v>
      </c>
      <c r="B179">
        <v>19</v>
      </c>
      <c r="C179">
        <v>19</v>
      </c>
      <c r="D179" t="s">
        <v>486</v>
      </c>
      <c r="E179" t="s">
        <v>602</v>
      </c>
      <c r="F179">
        <v>109649</v>
      </c>
      <c r="G179" t="s">
        <v>607</v>
      </c>
      <c r="H179">
        <f>F179-K179</f>
        <v>0</v>
      </c>
      <c r="I179" t="s">
        <v>783</v>
      </c>
      <c r="J179" t="s">
        <v>601</v>
      </c>
      <c r="K179">
        <v>92462</v>
      </c>
      <c r="L179" t="s">
        <v>899</v>
      </c>
      <c r="M179" t="s">
        <v>1076</v>
      </c>
      <c r="N179" t="s">
        <v>1192</v>
      </c>
      <c r="O179">
        <v>14709</v>
      </c>
      <c r="P179" t="s">
        <v>899</v>
      </c>
    </row>
    <row r="180" spans="1:16">
      <c r="A180" t="s">
        <v>194</v>
      </c>
      <c r="B180">
        <v>18</v>
      </c>
      <c r="C180">
        <v>18</v>
      </c>
      <c r="D180" t="s">
        <v>487</v>
      </c>
      <c r="E180" t="s">
        <v>601</v>
      </c>
      <c r="F180">
        <v>125651</v>
      </c>
      <c r="G180" t="s">
        <v>607</v>
      </c>
      <c r="H180">
        <f>F180-K180</f>
        <v>0</v>
      </c>
      <c r="I180" t="s">
        <v>784</v>
      </c>
      <c r="J180" t="s">
        <v>602</v>
      </c>
      <c r="K180">
        <v>103391</v>
      </c>
      <c r="L180" t="s">
        <v>899</v>
      </c>
      <c r="M180" t="s">
        <v>1077</v>
      </c>
      <c r="N180" t="s">
        <v>1192</v>
      </c>
      <c r="O180">
        <v>8713</v>
      </c>
      <c r="P180" t="s">
        <v>899</v>
      </c>
    </row>
    <row r="181" spans="1:16">
      <c r="A181" t="s">
        <v>195</v>
      </c>
      <c r="B181">
        <v>19</v>
      </c>
      <c r="C181">
        <v>17</v>
      </c>
      <c r="D181" t="s">
        <v>488</v>
      </c>
      <c r="E181" t="s">
        <v>602</v>
      </c>
      <c r="F181">
        <v>91442</v>
      </c>
      <c r="G181" t="s">
        <v>608</v>
      </c>
      <c r="H181">
        <f>F181-K181</f>
        <v>0</v>
      </c>
      <c r="I181" t="s">
        <v>785</v>
      </c>
      <c r="J181" t="s">
        <v>601</v>
      </c>
      <c r="K181">
        <v>86335</v>
      </c>
      <c r="L181" t="s">
        <v>900</v>
      </c>
      <c r="M181" t="s">
        <v>1078</v>
      </c>
      <c r="N181" t="s">
        <v>605</v>
      </c>
      <c r="O181">
        <v>12317</v>
      </c>
      <c r="P181" t="s">
        <v>900</v>
      </c>
    </row>
    <row r="182" spans="1:16">
      <c r="A182" t="s">
        <v>196</v>
      </c>
      <c r="B182">
        <v>16</v>
      </c>
      <c r="C182">
        <v>16</v>
      </c>
      <c r="D182" t="s">
        <v>489</v>
      </c>
      <c r="E182" t="s">
        <v>601</v>
      </c>
      <c r="F182">
        <v>102983</v>
      </c>
      <c r="G182" t="s">
        <v>607</v>
      </c>
      <c r="H182">
        <f>F182-K182</f>
        <v>0</v>
      </c>
      <c r="I182" t="s">
        <v>786</v>
      </c>
      <c r="J182" t="s">
        <v>602</v>
      </c>
      <c r="K182">
        <v>98995</v>
      </c>
      <c r="L182" t="s">
        <v>899</v>
      </c>
      <c r="M182" t="s">
        <v>1079</v>
      </c>
      <c r="N182" t="s">
        <v>605</v>
      </c>
      <c r="O182">
        <v>23111</v>
      </c>
      <c r="P182" t="s">
        <v>899</v>
      </c>
    </row>
    <row r="183" spans="1:16">
      <c r="A183" t="s">
        <v>197</v>
      </c>
      <c r="B183">
        <v>14</v>
      </c>
      <c r="C183">
        <v>13</v>
      </c>
      <c r="D183" t="s">
        <v>490</v>
      </c>
      <c r="E183" t="s">
        <v>602</v>
      </c>
      <c r="F183">
        <v>100333</v>
      </c>
      <c r="G183" t="s">
        <v>608</v>
      </c>
      <c r="H183">
        <f>F183-K183</f>
        <v>0</v>
      </c>
      <c r="I183" t="s">
        <v>787</v>
      </c>
      <c r="J183" t="s">
        <v>601</v>
      </c>
      <c r="K183">
        <v>88401</v>
      </c>
      <c r="L183" t="s">
        <v>900</v>
      </c>
      <c r="M183" t="s">
        <v>1080</v>
      </c>
      <c r="N183" t="s">
        <v>605</v>
      </c>
      <c r="O183">
        <v>7578</v>
      </c>
      <c r="P183" t="s">
        <v>900</v>
      </c>
    </row>
    <row r="184" spans="1:16">
      <c r="A184" t="s">
        <v>198</v>
      </c>
      <c r="B184">
        <v>19</v>
      </c>
      <c r="C184">
        <v>19</v>
      </c>
      <c r="D184" t="s">
        <v>491</v>
      </c>
      <c r="E184" t="s">
        <v>601</v>
      </c>
      <c r="F184">
        <v>115608</v>
      </c>
      <c r="G184" t="s">
        <v>607</v>
      </c>
      <c r="H184">
        <f>F184-K184</f>
        <v>0</v>
      </c>
      <c r="I184" t="s">
        <v>788</v>
      </c>
      <c r="J184" t="s">
        <v>602</v>
      </c>
      <c r="K184">
        <v>108937</v>
      </c>
      <c r="L184" t="s">
        <v>899</v>
      </c>
      <c r="M184" t="s">
        <v>1081</v>
      </c>
      <c r="N184" t="s">
        <v>606</v>
      </c>
      <c r="O184">
        <v>20896</v>
      </c>
      <c r="P184" t="s">
        <v>899</v>
      </c>
    </row>
    <row r="185" spans="1:16">
      <c r="A185" t="s">
        <v>199</v>
      </c>
      <c r="B185">
        <v>22</v>
      </c>
      <c r="C185">
        <v>22</v>
      </c>
      <c r="D185" t="s">
        <v>492</v>
      </c>
      <c r="E185" t="s">
        <v>602</v>
      </c>
      <c r="F185">
        <v>134036</v>
      </c>
      <c r="G185" t="s">
        <v>607</v>
      </c>
      <c r="H185">
        <f>F185-K185</f>
        <v>0</v>
      </c>
      <c r="I185" t="s">
        <v>789</v>
      </c>
      <c r="J185" t="s">
        <v>601</v>
      </c>
      <c r="K185">
        <v>91859</v>
      </c>
      <c r="L185" t="s">
        <v>899</v>
      </c>
      <c r="M185" t="s">
        <v>1082</v>
      </c>
      <c r="N185" t="s">
        <v>605</v>
      </c>
      <c r="O185">
        <v>19834</v>
      </c>
      <c r="P185" t="s">
        <v>899</v>
      </c>
    </row>
    <row r="186" spans="1:16">
      <c r="A186" t="s">
        <v>200</v>
      </c>
      <c r="B186">
        <v>27</v>
      </c>
      <c r="C186">
        <v>27</v>
      </c>
      <c r="D186" t="s">
        <v>493</v>
      </c>
      <c r="E186" t="s">
        <v>601</v>
      </c>
      <c r="F186">
        <v>80458</v>
      </c>
      <c r="G186" t="s">
        <v>607</v>
      </c>
      <c r="H186">
        <f>F186-K186</f>
        <v>0</v>
      </c>
      <c r="I186" t="s">
        <v>790</v>
      </c>
      <c r="J186" t="s">
        <v>602</v>
      </c>
      <c r="K186">
        <v>70167</v>
      </c>
      <c r="L186" t="s">
        <v>899</v>
      </c>
      <c r="M186" t="s">
        <v>1083</v>
      </c>
      <c r="N186" t="s">
        <v>605</v>
      </c>
      <c r="O186">
        <v>49812</v>
      </c>
      <c r="P186" t="s">
        <v>899</v>
      </c>
    </row>
    <row r="187" spans="1:16">
      <c r="A187" t="s">
        <v>201</v>
      </c>
      <c r="B187">
        <v>21</v>
      </c>
      <c r="C187">
        <v>21</v>
      </c>
      <c r="D187" t="s">
        <v>494</v>
      </c>
      <c r="E187" t="s">
        <v>601</v>
      </c>
      <c r="F187">
        <v>85644</v>
      </c>
      <c r="G187" t="s">
        <v>607</v>
      </c>
      <c r="H187">
        <f>F187-K187</f>
        <v>0</v>
      </c>
      <c r="I187" t="s">
        <v>791</v>
      </c>
      <c r="J187" t="s">
        <v>602</v>
      </c>
      <c r="K187">
        <v>76959</v>
      </c>
      <c r="L187" t="s">
        <v>899</v>
      </c>
      <c r="M187" t="s">
        <v>1084</v>
      </c>
      <c r="N187" t="s">
        <v>605</v>
      </c>
      <c r="O187">
        <v>17136</v>
      </c>
      <c r="P187" t="s">
        <v>899</v>
      </c>
    </row>
    <row r="188" spans="1:16">
      <c r="A188" t="s">
        <v>202</v>
      </c>
      <c r="B188">
        <v>26</v>
      </c>
      <c r="C188">
        <v>26</v>
      </c>
      <c r="D188" t="s">
        <v>495</v>
      </c>
      <c r="E188" t="s">
        <v>601</v>
      </c>
      <c r="F188">
        <v>93704</v>
      </c>
      <c r="G188" t="s">
        <v>607</v>
      </c>
      <c r="H188">
        <f>F188-K188</f>
        <v>0</v>
      </c>
      <c r="I188" t="s">
        <v>792</v>
      </c>
      <c r="J188" t="s">
        <v>602</v>
      </c>
      <c r="K188">
        <v>90678</v>
      </c>
      <c r="L188" t="s">
        <v>899</v>
      </c>
      <c r="M188" t="s">
        <v>1085</v>
      </c>
      <c r="N188" t="s">
        <v>605</v>
      </c>
      <c r="O188">
        <v>14368</v>
      </c>
      <c r="P188" t="s">
        <v>899</v>
      </c>
    </row>
    <row r="189" spans="1:16">
      <c r="A189" t="s">
        <v>203</v>
      </c>
      <c r="B189">
        <v>22</v>
      </c>
      <c r="C189">
        <v>22</v>
      </c>
      <c r="D189" t="s">
        <v>496</v>
      </c>
      <c r="E189" t="s">
        <v>601</v>
      </c>
      <c r="F189">
        <v>113008</v>
      </c>
      <c r="G189" t="s">
        <v>607</v>
      </c>
      <c r="H189">
        <f>F189-K189</f>
        <v>0</v>
      </c>
      <c r="I189" t="s">
        <v>793</v>
      </c>
      <c r="J189" t="s">
        <v>602</v>
      </c>
      <c r="K189">
        <v>91570</v>
      </c>
      <c r="L189" t="s">
        <v>899</v>
      </c>
      <c r="M189" t="s">
        <v>1086</v>
      </c>
      <c r="N189" t="s">
        <v>605</v>
      </c>
      <c r="O189">
        <v>12320</v>
      </c>
      <c r="P189" t="s">
        <v>899</v>
      </c>
    </row>
    <row r="190" spans="1:16">
      <c r="A190" t="s">
        <v>204</v>
      </c>
      <c r="B190">
        <v>20</v>
      </c>
      <c r="C190">
        <v>18</v>
      </c>
      <c r="D190" t="s">
        <v>497</v>
      </c>
      <c r="E190" t="s">
        <v>601</v>
      </c>
      <c r="F190">
        <v>78040</v>
      </c>
      <c r="G190" t="s">
        <v>608</v>
      </c>
      <c r="H190">
        <f>F190-K190</f>
        <v>0</v>
      </c>
      <c r="I190" t="s">
        <v>794</v>
      </c>
      <c r="J190" t="s">
        <v>602</v>
      </c>
      <c r="K190">
        <v>67356</v>
      </c>
      <c r="L190" t="s">
        <v>900</v>
      </c>
      <c r="M190" t="s">
        <v>1087</v>
      </c>
      <c r="N190" t="s">
        <v>605</v>
      </c>
      <c r="O190">
        <v>20695</v>
      </c>
      <c r="P190" t="s">
        <v>900</v>
      </c>
    </row>
    <row r="191" spans="1:16">
      <c r="A191" t="s">
        <v>205</v>
      </c>
      <c r="B191">
        <v>28</v>
      </c>
      <c r="C191">
        <v>28</v>
      </c>
      <c r="D191" t="s">
        <v>498</v>
      </c>
      <c r="E191" t="s">
        <v>601</v>
      </c>
      <c r="F191">
        <v>137704</v>
      </c>
      <c r="G191" t="s">
        <v>607</v>
      </c>
      <c r="H191">
        <f>F191-K191</f>
        <v>0</v>
      </c>
      <c r="I191" t="s">
        <v>795</v>
      </c>
      <c r="J191" t="s">
        <v>602</v>
      </c>
      <c r="K191">
        <v>94269</v>
      </c>
      <c r="L191" t="s">
        <v>899</v>
      </c>
      <c r="M191" t="s">
        <v>1088</v>
      </c>
      <c r="N191" t="s">
        <v>1192</v>
      </c>
      <c r="O191">
        <v>14226</v>
      </c>
      <c r="P191" t="s">
        <v>899</v>
      </c>
    </row>
    <row r="192" spans="1:16">
      <c r="A192" t="s">
        <v>206</v>
      </c>
      <c r="B192">
        <v>13</v>
      </c>
      <c r="C192">
        <v>13</v>
      </c>
      <c r="D192" t="s">
        <v>499</v>
      </c>
      <c r="E192" t="s">
        <v>601</v>
      </c>
      <c r="F192">
        <v>125624</v>
      </c>
      <c r="G192" t="s">
        <v>607</v>
      </c>
      <c r="H192">
        <f>F192-K192</f>
        <v>0</v>
      </c>
      <c r="I192" t="s">
        <v>796</v>
      </c>
      <c r="J192" t="s">
        <v>602</v>
      </c>
      <c r="K192">
        <v>83710</v>
      </c>
      <c r="L192" t="s">
        <v>899</v>
      </c>
      <c r="M192" t="s">
        <v>1089</v>
      </c>
      <c r="N192" t="s">
        <v>605</v>
      </c>
      <c r="O192">
        <v>10175</v>
      </c>
      <c r="P192" t="s">
        <v>899</v>
      </c>
    </row>
    <row r="193" spans="1:16">
      <c r="A193" t="s">
        <v>207</v>
      </c>
      <c r="B193">
        <v>13</v>
      </c>
      <c r="C193">
        <v>13</v>
      </c>
      <c r="D193" t="s">
        <v>500</v>
      </c>
      <c r="E193" t="s">
        <v>601</v>
      </c>
      <c r="F193">
        <v>101349</v>
      </c>
      <c r="G193" t="s">
        <v>607</v>
      </c>
      <c r="H193">
        <f>F193-K193</f>
        <v>0</v>
      </c>
      <c r="I193" t="s">
        <v>797</v>
      </c>
      <c r="J193" t="s">
        <v>602</v>
      </c>
      <c r="K193">
        <v>96121</v>
      </c>
      <c r="L193" t="s">
        <v>899</v>
      </c>
      <c r="M193" t="s">
        <v>1090</v>
      </c>
      <c r="N193" t="s">
        <v>605</v>
      </c>
      <c r="O193">
        <v>27557</v>
      </c>
      <c r="P193" t="s">
        <v>899</v>
      </c>
    </row>
    <row r="194" spans="1:16">
      <c r="A194" t="s">
        <v>208</v>
      </c>
      <c r="B194">
        <v>12</v>
      </c>
      <c r="C194">
        <v>12</v>
      </c>
      <c r="D194" t="s">
        <v>501</v>
      </c>
      <c r="E194" t="s">
        <v>601</v>
      </c>
      <c r="F194">
        <v>102414</v>
      </c>
      <c r="G194" t="s">
        <v>607</v>
      </c>
      <c r="H194">
        <f>F194-K194</f>
        <v>0</v>
      </c>
      <c r="I194" t="s">
        <v>798</v>
      </c>
      <c r="J194" t="s">
        <v>602</v>
      </c>
      <c r="K194">
        <v>79125</v>
      </c>
      <c r="L194" t="s">
        <v>899</v>
      </c>
      <c r="M194" t="s">
        <v>1091</v>
      </c>
      <c r="N194" t="s">
        <v>605</v>
      </c>
      <c r="O194">
        <v>9198</v>
      </c>
      <c r="P194" t="s">
        <v>899</v>
      </c>
    </row>
    <row r="195" spans="1:16">
      <c r="A195" t="s">
        <v>209</v>
      </c>
      <c r="B195">
        <v>24</v>
      </c>
      <c r="C195">
        <v>24</v>
      </c>
      <c r="D195" t="s">
        <v>502</v>
      </c>
      <c r="E195" t="s">
        <v>602</v>
      </c>
      <c r="F195">
        <v>107143</v>
      </c>
      <c r="G195" t="s">
        <v>607</v>
      </c>
      <c r="H195">
        <f>F195-K195</f>
        <v>0</v>
      </c>
      <c r="I195" t="s">
        <v>799</v>
      </c>
      <c r="J195" t="s">
        <v>601</v>
      </c>
      <c r="K195">
        <v>87480</v>
      </c>
      <c r="L195" t="s">
        <v>899</v>
      </c>
      <c r="M195" t="s">
        <v>1092</v>
      </c>
      <c r="N195" t="s">
        <v>605</v>
      </c>
      <c r="O195">
        <v>25438</v>
      </c>
      <c r="P195" t="s">
        <v>899</v>
      </c>
    </row>
    <row r="196" spans="1:16">
      <c r="A196" t="s">
        <v>210</v>
      </c>
      <c r="B196">
        <v>23</v>
      </c>
      <c r="C196">
        <v>21</v>
      </c>
      <c r="D196" t="s">
        <v>503</v>
      </c>
      <c r="E196" t="s">
        <v>601</v>
      </c>
      <c r="F196">
        <v>96953</v>
      </c>
      <c r="G196" t="s">
        <v>608</v>
      </c>
      <c r="H196">
        <f>F196-K196</f>
        <v>0</v>
      </c>
      <c r="I196" t="s">
        <v>800</v>
      </c>
      <c r="J196" t="s">
        <v>602</v>
      </c>
      <c r="K196">
        <v>95765</v>
      </c>
      <c r="L196" t="s">
        <v>900</v>
      </c>
      <c r="M196" t="s">
        <v>1093</v>
      </c>
      <c r="N196" t="s">
        <v>605</v>
      </c>
      <c r="O196">
        <v>17542</v>
      </c>
      <c r="P196" t="s">
        <v>900</v>
      </c>
    </row>
    <row r="197" spans="1:16">
      <c r="A197" t="s">
        <v>211</v>
      </c>
      <c r="B197">
        <v>24</v>
      </c>
      <c r="C197">
        <v>22</v>
      </c>
      <c r="D197" t="s">
        <v>504</v>
      </c>
      <c r="E197" t="s">
        <v>601</v>
      </c>
      <c r="F197">
        <v>102500</v>
      </c>
      <c r="G197" t="s">
        <v>608</v>
      </c>
      <c r="H197">
        <f>F197-K197</f>
        <v>0</v>
      </c>
      <c r="I197" t="s">
        <v>801</v>
      </c>
      <c r="J197" t="s">
        <v>602</v>
      </c>
      <c r="K197">
        <v>99706</v>
      </c>
      <c r="L197" t="s">
        <v>900</v>
      </c>
      <c r="M197" t="s">
        <v>1094</v>
      </c>
      <c r="N197" t="s">
        <v>606</v>
      </c>
      <c r="O197">
        <v>11562</v>
      </c>
      <c r="P197" t="s">
        <v>900</v>
      </c>
    </row>
    <row r="198" spans="1:16">
      <c r="A198" t="s">
        <v>212</v>
      </c>
      <c r="B198">
        <v>14</v>
      </c>
      <c r="C198">
        <v>14</v>
      </c>
      <c r="D198" t="s">
        <v>505</v>
      </c>
      <c r="E198" t="s">
        <v>602</v>
      </c>
      <c r="F198">
        <v>123462</v>
      </c>
      <c r="G198" t="s">
        <v>607</v>
      </c>
      <c r="H198">
        <f>F198-K198</f>
        <v>0</v>
      </c>
      <c r="I198" t="s">
        <v>802</v>
      </c>
      <c r="J198" t="s">
        <v>601</v>
      </c>
      <c r="K198">
        <v>110405</v>
      </c>
      <c r="L198" t="s">
        <v>899</v>
      </c>
      <c r="M198" t="s">
        <v>1095</v>
      </c>
      <c r="N198" t="s">
        <v>1196</v>
      </c>
      <c r="O198">
        <v>4907</v>
      </c>
      <c r="P198" t="s">
        <v>899</v>
      </c>
    </row>
    <row r="199" spans="1:16">
      <c r="A199" t="s">
        <v>213</v>
      </c>
      <c r="B199">
        <v>23</v>
      </c>
      <c r="C199">
        <v>23</v>
      </c>
      <c r="D199" t="s">
        <v>506</v>
      </c>
      <c r="E199" t="s">
        <v>601</v>
      </c>
      <c r="F199">
        <v>116901</v>
      </c>
      <c r="G199" t="s">
        <v>607</v>
      </c>
      <c r="H199">
        <f>F199-K199</f>
        <v>0</v>
      </c>
      <c r="I199" t="s">
        <v>803</v>
      </c>
      <c r="J199" t="s">
        <v>602</v>
      </c>
      <c r="K199">
        <v>85902</v>
      </c>
      <c r="L199" t="s">
        <v>899</v>
      </c>
      <c r="M199" t="s">
        <v>1096</v>
      </c>
      <c r="N199" t="s">
        <v>605</v>
      </c>
      <c r="O199">
        <v>9616</v>
      </c>
      <c r="P199" t="s">
        <v>899</v>
      </c>
    </row>
    <row r="200" spans="1:16">
      <c r="A200" t="s">
        <v>214</v>
      </c>
      <c r="B200">
        <v>15</v>
      </c>
      <c r="C200">
        <v>15</v>
      </c>
      <c r="D200" t="s">
        <v>507</v>
      </c>
      <c r="E200" t="s">
        <v>601</v>
      </c>
      <c r="F200">
        <v>138821</v>
      </c>
      <c r="G200" t="s">
        <v>607</v>
      </c>
      <c r="H200">
        <f>F200-K200</f>
        <v>0</v>
      </c>
      <c r="I200" t="s">
        <v>804</v>
      </c>
      <c r="J200" t="s">
        <v>602</v>
      </c>
      <c r="K200">
        <v>85368</v>
      </c>
      <c r="L200" t="s">
        <v>899</v>
      </c>
      <c r="M200" t="s">
        <v>1097</v>
      </c>
      <c r="N200" t="s">
        <v>605</v>
      </c>
      <c r="O200">
        <v>8772</v>
      </c>
      <c r="P200" t="s">
        <v>899</v>
      </c>
    </row>
    <row r="201" spans="1:16">
      <c r="A201" t="s">
        <v>215</v>
      </c>
      <c r="B201">
        <v>24</v>
      </c>
      <c r="C201">
        <v>24</v>
      </c>
      <c r="D201" t="s">
        <v>508</v>
      </c>
      <c r="E201" t="s">
        <v>601</v>
      </c>
      <c r="F201">
        <v>123000</v>
      </c>
      <c r="G201" t="s">
        <v>607</v>
      </c>
      <c r="H201">
        <f>F201-K201</f>
        <v>0</v>
      </c>
      <c r="I201" t="s">
        <v>805</v>
      </c>
      <c r="J201" t="s">
        <v>602</v>
      </c>
      <c r="K201">
        <v>94041</v>
      </c>
      <c r="L201" t="s">
        <v>899</v>
      </c>
      <c r="M201" t="s">
        <v>1098</v>
      </c>
      <c r="N201" t="s">
        <v>605</v>
      </c>
      <c r="O201">
        <v>11414</v>
      </c>
      <c r="P201" t="s">
        <v>899</v>
      </c>
    </row>
    <row r="202" spans="1:16">
      <c r="A202" t="s">
        <v>216</v>
      </c>
      <c r="B202">
        <v>24</v>
      </c>
      <c r="C202">
        <v>24</v>
      </c>
      <c r="D202" t="s">
        <v>509</v>
      </c>
      <c r="E202" t="s">
        <v>601</v>
      </c>
      <c r="F202">
        <v>134498</v>
      </c>
      <c r="G202" t="s">
        <v>607</v>
      </c>
      <c r="H202">
        <f>F202-K202</f>
        <v>0</v>
      </c>
      <c r="I202" t="s">
        <v>806</v>
      </c>
      <c r="J202" t="s">
        <v>602</v>
      </c>
      <c r="K202">
        <v>84916</v>
      </c>
      <c r="L202" t="s">
        <v>899</v>
      </c>
      <c r="M202" t="s">
        <v>1099</v>
      </c>
      <c r="N202" t="s">
        <v>1192</v>
      </c>
      <c r="O202">
        <v>9185</v>
      </c>
      <c r="P202" t="s">
        <v>899</v>
      </c>
    </row>
    <row r="203" spans="1:16">
      <c r="A203" t="s">
        <v>217</v>
      </c>
      <c r="B203">
        <v>19</v>
      </c>
      <c r="C203">
        <v>19</v>
      </c>
      <c r="D203" t="s">
        <v>510</v>
      </c>
      <c r="E203" t="s">
        <v>601</v>
      </c>
      <c r="F203">
        <v>126729</v>
      </c>
      <c r="G203" t="s">
        <v>607</v>
      </c>
      <c r="H203">
        <f>F203-K203</f>
        <v>0</v>
      </c>
      <c r="I203" t="s">
        <v>807</v>
      </c>
      <c r="J203" t="s">
        <v>602</v>
      </c>
      <c r="K203">
        <v>92246</v>
      </c>
      <c r="L203" t="s">
        <v>899</v>
      </c>
      <c r="M203" t="s">
        <v>1100</v>
      </c>
      <c r="N203" t="s">
        <v>606</v>
      </c>
      <c r="O203">
        <v>8021</v>
      </c>
      <c r="P203" t="s">
        <v>899</v>
      </c>
    </row>
    <row r="204" spans="1:16">
      <c r="A204" t="s">
        <v>218</v>
      </c>
      <c r="B204">
        <v>15</v>
      </c>
      <c r="C204">
        <v>15</v>
      </c>
      <c r="D204" t="s">
        <v>511</v>
      </c>
      <c r="E204" t="s">
        <v>601</v>
      </c>
      <c r="F204">
        <v>136566</v>
      </c>
      <c r="G204" t="s">
        <v>607</v>
      </c>
      <c r="H204">
        <f>F204-K204</f>
        <v>0</v>
      </c>
      <c r="I204" t="s">
        <v>808</v>
      </c>
      <c r="J204" t="s">
        <v>602</v>
      </c>
      <c r="K204">
        <v>101837</v>
      </c>
      <c r="L204" t="s">
        <v>899</v>
      </c>
      <c r="M204" t="s">
        <v>1101</v>
      </c>
      <c r="N204" t="s">
        <v>1197</v>
      </c>
      <c r="O204">
        <v>8801</v>
      </c>
      <c r="P204" t="s">
        <v>899</v>
      </c>
    </row>
    <row r="205" spans="1:16">
      <c r="A205" t="s">
        <v>219</v>
      </c>
      <c r="B205">
        <v>12</v>
      </c>
      <c r="C205">
        <v>12</v>
      </c>
      <c r="D205" t="s">
        <v>512</v>
      </c>
      <c r="E205" t="s">
        <v>601</v>
      </c>
      <c r="F205">
        <v>109264</v>
      </c>
      <c r="G205" t="s">
        <v>607</v>
      </c>
      <c r="H205">
        <f>F205-K205</f>
        <v>0</v>
      </c>
      <c r="I205" t="s">
        <v>809</v>
      </c>
      <c r="J205" t="s">
        <v>602</v>
      </c>
      <c r="K205">
        <v>91361</v>
      </c>
      <c r="L205" t="s">
        <v>899</v>
      </c>
      <c r="M205" t="s">
        <v>1102</v>
      </c>
      <c r="N205" t="s">
        <v>605</v>
      </c>
      <c r="O205">
        <v>11233</v>
      </c>
      <c r="P205" t="s">
        <v>899</v>
      </c>
    </row>
    <row r="206" spans="1:16">
      <c r="A206" t="s">
        <v>220</v>
      </c>
      <c r="B206">
        <v>15</v>
      </c>
      <c r="C206">
        <v>12</v>
      </c>
      <c r="D206" t="s">
        <v>513</v>
      </c>
      <c r="E206" t="s">
        <v>601</v>
      </c>
      <c r="F206">
        <v>117861</v>
      </c>
      <c r="G206" t="s">
        <v>608</v>
      </c>
      <c r="H206">
        <f>F206-K206</f>
        <v>0</v>
      </c>
      <c r="I206" t="s">
        <v>810</v>
      </c>
      <c r="J206" t="s">
        <v>602</v>
      </c>
      <c r="K206">
        <v>82808</v>
      </c>
      <c r="L206" t="s">
        <v>900</v>
      </c>
      <c r="M206" t="s">
        <v>1103</v>
      </c>
      <c r="N206" t="s">
        <v>606</v>
      </c>
      <c r="O206">
        <v>7888</v>
      </c>
      <c r="P206" t="s">
        <v>900</v>
      </c>
    </row>
    <row r="207" spans="1:16">
      <c r="A207" t="s">
        <v>221</v>
      </c>
      <c r="B207">
        <v>17</v>
      </c>
      <c r="C207">
        <v>17</v>
      </c>
      <c r="D207" t="s">
        <v>514</v>
      </c>
      <c r="E207" t="s">
        <v>601</v>
      </c>
      <c r="F207">
        <v>127166</v>
      </c>
      <c r="G207" t="s">
        <v>607</v>
      </c>
      <c r="H207">
        <f>F207-K207</f>
        <v>0</v>
      </c>
      <c r="I207" t="s">
        <v>811</v>
      </c>
      <c r="J207" t="s">
        <v>602</v>
      </c>
      <c r="K207">
        <v>110925</v>
      </c>
      <c r="L207" t="s">
        <v>899</v>
      </c>
      <c r="M207" t="s">
        <v>1104</v>
      </c>
      <c r="N207" t="s">
        <v>1197</v>
      </c>
      <c r="O207">
        <v>4499</v>
      </c>
      <c r="P207" t="s">
        <v>899</v>
      </c>
    </row>
    <row r="208" spans="1:16">
      <c r="A208" t="s">
        <v>222</v>
      </c>
      <c r="B208">
        <v>14</v>
      </c>
      <c r="C208">
        <v>14</v>
      </c>
      <c r="D208" t="s">
        <v>515</v>
      </c>
      <c r="E208" t="s">
        <v>601</v>
      </c>
      <c r="F208">
        <v>131060</v>
      </c>
      <c r="G208" t="s">
        <v>607</v>
      </c>
      <c r="H208">
        <f>F208-K208</f>
        <v>0</v>
      </c>
      <c r="I208" t="s">
        <v>812</v>
      </c>
      <c r="J208" t="s">
        <v>602</v>
      </c>
      <c r="K208">
        <v>100649</v>
      </c>
      <c r="L208" t="s">
        <v>899</v>
      </c>
      <c r="M208" t="s">
        <v>1105</v>
      </c>
      <c r="N208" t="s">
        <v>605</v>
      </c>
      <c r="O208">
        <v>9014</v>
      </c>
      <c r="P208" t="s">
        <v>899</v>
      </c>
    </row>
    <row r="209" spans="1:16">
      <c r="A209" t="s">
        <v>223</v>
      </c>
      <c r="B209">
        <v>22</v>
      </c>
      <c r="C209">
        <v>22</v>
      </c>
      <c r="D209" t="s">
        <v>516</v>
      </c>
      <c r="E209" t="s">
        <v>601</v>
      </c>
      <c r="F209">
        <v>121584</v>
      </c>
      <c r="G209" t="s">
        <v>607</v>
      </c>
      <c r="H209">
        <f>F209-K209</f>
        <v>0</v>
      </c>
      <c r="I209" t="s">
        <v>813</v>
      </c>
      <c r="J209" t="s">
        <v>602</v>
      </c>
      <c r="K209">
        <v>95346</v>
      </c>
      <c r="L209" t="s">
        <v>899</v>
      </c>
      <c r="M209" t="s">
        <v>1106</v>
      </c>
      <c r="N209" t="s">
        <v>605</v>
      </c>
      <c r="O209">
        <v>11490</v>
      </c>
      <c r="P209" t="s">
        <v>899</v>
      </c>
    </row>
    <row r="210" spans="1:16">
      <c r="A210" t="s">
        <v>224</v>
      </c>
      <c r="B210">
        <v>21</v>
      </c>
      <c r="C210">
        <v>21</v>
      </c>
      <c r="D210" t="s">
        <v>517</v>
      </c>
      <c r="E210" t="s">
        <v>601</v>
      </c>
      <c r="F210">
        <v>132183</v>
      </c>
      <c r="G210" t="s">
        <v>607</v>
      </c>
      <c r="H210">
        <f>F210-K210</f>
        <v>0</v>
      </c>
      <c r="I210" t="s">
        <v>814</v>
      </c>
      <c r="J210" t="s">
        <v>602</v>
      </c>
      <c r="K210">
        <v>83121</v>
      </c>
      <c r="L210" t="s">
        <v>899</v>
      </c>
      <c r="M210" t="s">
        <v>1107</v>
      </c>
      <c r="N210" t="s">
        <v>605</v>
      </c>
      <c r="O210">
        <v>19121</v>
      </c>
      <c r="P210" t="s">
        <v>899</v>
      </c>
    </row>
    <row r="211" spans="1:16">
      <c r="A211" t="s">
        <v>225</v>
      </c>
      <c r="B211">
        <v>19</v>
      </c>
      <c r="C211">
        <v>19</v>
      </c>
      <c r="D211" t="s">
        <v>467</v>
      </c>
      <c r="E211" t="s">
        <v>601</v>
      </c>
      <c r="F211">
        <v>127301</v>
      </c>
      <c r="G211" t="s">
        <v>607</v>
      </c>
      <c r="H211">
        <f>F211-K211</f>
        <v>0</v>
      </c>
      <c r="I211" t="s">
        <v>815</v>
      </c>
      <c r="J211" t="s">
        <v>602</v>
      </c>
      <c r="K211">
        <v>117636</v>
      </c>
      <c r="L211" t="s">
        <v>899</v>
      </c>
      <c r="M211" t="s">
        <v>1108</v>
      </c>
      <c r="N211" t="s">
        <v>1197</v>
      </c>
      <c r="O211">
        <v>2997</v>
      </c>
      <c r="P211" t="s">
        <v>899</v>
      </c>
    </row>
    <row r="212" spans="1:16">
      <c r="A212" t="s">
        <v>226</v>
      </c>
      <c r="B212">
        <v>13</v>
      </c>
      <c r="C212">
        <v>13</v>
      </c>
      <c r="D212" t="s">
        <v>518</v>
      </c>
      <c r="E212" t="s">
        <v>601</v>
      </c>
      <c r="F212">
        <v>126047</v>
      </c>
      <c r="G212" t="s">
        <v>607</v>
      </c>
      <c r="H212">
        <f>F212-K212</f>
        <v>0</v>
      </c>
      <c r="I212" t="s">
        <v>816</v>
      </c>
      <c r="J212" t="s">
        <v>602</v>
      </c>
      <c r="K212">
        <v>105777</v>
      </c>
      <c r="L212" t="s">
        <v>899</v>
      </c>
      <c r="M212" t="s">
        <v>1109</v>
      </c>
      <c r="N212" t="s">
        <v>605</v>
      </c>
      <c r="O212">
        <v>6568</v>
      </c>
      <c r="P212" t="s">
        <v>899</v>
      </c>
    </row>
    <row r="213" spans="1:16">
      <c r="A213" t="s">
        <v>227</v>
      </c>
      <c r="B213">
        <v>18</v>
      </c>
      <c r="C213">
        <v>18</v>
      </c>
      <c r="D213" t="s">
        <v>519</v>
      </c>
      <c r="E213" t="s">
        <v>601</v>
      </c>
      <c r="F213">
        <v>116589</v>
      </c>
      <c r="G213" t="s">
        <v>607</v>
      </c>
      <c r="H213">
        <f>F213-K213</f>
        <v>0</v>
      </c>
      <c r="I213" t="s">
        <v>817</v>
      </c>
      <c r="J213" t="s">
        <v>602</v>
      </c>
      <c r="K213">
        <v>107538</v>
      </c>
      <c r="L213" t="s">
        <v>899</v>
      </c>
      <c r="M213" t="s">
        <v>1110</v>
      </c>
      <c r="N213" t="s">
        <v>1197</v>
      </c>
      <c r="O213">
        <v>4595</v>
      </c>
      <c r="P213" t="s">
        <v>899</v>
      </c>
    </row>
    <row r="214" spans="1:16">
      <c r="A214" t="s">
        <v>228</v>
      </c>
      <c r="B214">
        <v>24</v>
      </c>
      <c r="C214">
        <v>22</v>
      </c>
      <c r="D214" t="s">
        <v>520</v>
      </c>
      <c r="E214" t="s">
        <v>601</v>
      </c>
      <c r="F214">
        <v>118972</v>
      </c>
      <c r="G214" t="s">
        <v>608</v>
      </c>
      <c r="H214">
        <f>F214-K214</f>
        <v>0</v>
      </c>
      <c r="I214" t="s">
        <v>818</v>
      </c>
      <c r="J214" t="s">
        <v>602</v>
      </c>
      <c r="K214">
        <v>103450</v>
      </c>
      <c r="L214" t="s">
        <v>900</v>
      </c>
      <c r="M214" t="s">
        <v>1111</v>
      </c>
      <c r="N214" t="s">
        <v>605</v>
      </c>
      <c r="O214">
        <v>4294</v>
      </c>
      <c r="P214" t="s">
        <v>900</v>
      </c>
    </row>
    <row r="215" spans="1:16">
      <c r="A215" t="s">
        <v>229</v>
      </c>
      <c r="B215">
        <v>22</v>
      </c>
      <c r="C215">
        <v>22</v>
      </c>
      <c r="D215" t="s">
        <v>521</v>
      </c>
      <c r="E215" t="s">
        <v>601</v>
      </c>
      <c r="F215">
        <v>129715</v>
      </c>
      <c r="G215" t="s">
        <v>607</v>
      </c>
      <c r="H215">
        <f>F215-K215</f>
        <v>0</v>
      </c>
      <c r="I215" t="s">
        <v>819</v>
      </c>
      <c r="J215" t="s">
        <v>602</v>
      </c>
      <c r="K215">
        <v>109295</v>
      </c>
      <c r="L215" t="s">
        <v>899</v>
      </c>
      <c r="M215" t="s">
        <v>1112</v>
      </c>
      <c r="N215" t="s">
        <v>1193</v>
      </c>
      <c r="O215">
        <v>3655</v>
      </c>
      <c r="P215" t="s">
        <v>899</v>
      </c>
    </row>
    <row r="216" spans="1:16">
      <c r="A216" t="s">
        <v>230</v>
      </c>
      <c r="B216">
        <v>22</v>
      </c>
      <c r="C216">
        <v>21</v>
      </c>
      <c r="D216" t="s">
        <v>522</v>
      </c>
      <c r="E216" t="s">
        <v>601</v>
      </c>
      <c r="F216">
        <v>125212</v>
      </c>
      <c r="G216" t="s">
        <v>608</v>
      </c>
      <c r="H216">
        <f>F216-K216</f>
        <v>0</v>
      </c>
      <c r="I216" t="s">
        <v>820</v>
      </c>
      <c r="J216" t="s">
        <v>602</v>
      </c>
      <c r="K216">
        <v>94041</v>
      </c>
      <c r="L216" t="s">
        <v>900</v>
      </c>
      <c r="M216" t="s">
        <v>1113</v>
      </c>
      <c r="N216" t="s">
        <v>605</v>
      </c>
      <c r="O216">
        <v>5265</v>
      </c>
      <c r="P216" t="s">
        <v>900</v>
      </c>
    </row>
    <row r="217" spans="1:16">
      <c r="A217" t="s">
        <v>231</v>
      </c>
      <c r="B217">
        <v>26</v>
      </c>
      <c r="C217">
        <v>26</v>
      </c>
      <c r="D217" t="s">
        <v>496</v>
      </c>
      <c r="E217" t="s">
        <v>601</v>
      </c>
      <c r="F217">
        <v>118219</v>
      </c>
      <c r="G217" t="s">
        <v>607</v>
      </c>
      <c r="H217">
        <f>F217-K217</f>
        <v>0</v>
      </c>
      <c r="I217" t="s">
        <v>821</v>
      </c>
      <c r="J217" t="s">
        <v>602</v>
      </c>
      <c r="K217">
        <v>86747</v>
      </c>
      <c r="L217" t="s">
        <v>899</v>
      </c>
      <c r="M217" t="s">
        <v>1114</v>
      </c>
      <c r="N217" t="s">
        <v>1197</v>
      </c>
      <c r="O217">
        <v>3868</v>
      </c>
      <c r="P217" t="s">
        <v>899</v>
      </c>
    </row>
    <row r="218" spans="1:16">
      <c r="A218" t="s">
        <v>232</v>
      </c>
      <c r="B218">
        <v>26</v>
      </c>
      <c r="C218">
        <v>26</v>
      </c>
      <c r="D218" t="s">
        <v>523</v>
      </c>
      <c r="E218" t="s">
        <v>601</v>
      </c>
      <c r="F218">
        <v>131808</v>
      </c>
      <c r="G218" t="s">
        <v>607</v>
      </c>
      <c r="H218">
        <f>F218-K218</f>
        <v>0</v>
      </c>
      <c r="I218" t="s">
        <v>822</v>
      </c>
      <c r="J218" t="s">
        <v>602</v>
      </c>
      <c r="K218">
        <v>104869</v>
      </c>
      <c r="L218" t="s">
        <v>899</v>
      </c>
      <c r="M218" t="s">
        <v>1115</v>
      </c>
      <c r="N218" t="s">
        <v>605</v>
      </c>
      <c r="O218">
        <v>5239</v>
      </c>
      <c r="P218" t="s">
        <v>899</v>
      </c>
    </row>
    <row r="219" spans="1:16">
      <c r="A219" t="s">
        <v>233</v>
      </c>
      <c r="B219">
        <v>18</v>
      </c>
      <c r="C219">
        <v>18</v>
      </c>
      <c r="D219" t="s">
        <v>524</v>
      </c>
      <c r="E219" t="s">
        <v>601</v>
      </c>
      <c r="F219">
        <v>142670</v>
      </c>
      <c r="G219" t="s">
        <v>607</v>
      </c>
      <c r="H219">
        <f>F219-K219</f>
        <v>0</v>
      </c>
      <c r="I219" t="s">
        <v>823</v>
      </c>
      <c r="J219" t="s">
        <v>602</v>
      </c>
      <c r="K219">
        <v>116978</v>
      </c>
      <c r="L219" t="s">
        <v>899</v>
      </c>
      <c r="M219" t="s">
        <v>1116</v>
      </c>
      <c r="N219" t="s">
        <v>605</v>
      </c>
      <c r="O219">
        <v>5736</v>
      </c>
      <c r="P219" t="s">
        <v>899</v>
      </c>
    </row>
    <row r="220" spans="1:16">
      <c r="A220" t="s">
        <v>234</v>
      </c>
      <c r="B220">
        <v>19</v>
      </c>
      <c r="C220">
        <v>19</v>
      </c>
      <c r="D220" t="s">
        <v>525</v>
      </c>
      <c r="E220" t="s">
        <v>601</v>
      </c>
      <c r="F220">
        <v>110259</v>
      </c>
      <c r="G220" t="s">
        <v>607</v>
      </c>
      <c r="H220">
        <f>F220-K220</f>
        <v>0</v>
      </c>
      <c r="I220" t="s">
        <v>824</v>
      </c>
      <c r="J220" t="s">
        <v>602</v>
      </c>
      <c r="K220">
        <v>99883</v>
      </c>
      <c r="L220" t="s">
        <v>899</v>
      </c>
      <c r="M220" t="s">
        <v>1117</v>
      </c>
      <c r="N220" t="s">
        <v>1197</v>
      </c>
      <c r="O220">
        <v>3581</v>
      </c>
      <c r="P220" t="s">
        <v>899</v>
      </c>
    </row>
    <row r="221" spans="1:16">
      <c r="A221" t="s">
        <v>235</v>
      </c>
      <c r="B221">
        <v>21</v>
      </c>
      <c r="C221">
        <v>21</v>
      </c>
      <c r="D221" t="s">
        <v>526</v>
      </c>
      <c r="E221" t="s">
        <v>601</v>
      </c>
      <c r="F221">
        <v>100857</v>
      </c>
      <c r="G221" t="s">
        <v>607</v>
      </c>
      <c r="H221">
        <f>F221-K221</f>
        <v>0</v>
      </c>
      <c r="I221" t="s">
        <v>825</v>
      </c>
      <c r="J221" t="s">
        <v>602</v>
      </c>
      <c r="K221">
        <v>94433</v>
      </c>
      <c r="L221" t="s">
        <v>899</v>
      </c>
      <c r="M221" t="s">
        <v>1118</v>
      </c>
      <c r="N221" t="s">
        <v>605</v>
      </c>
      <c r="O221">
        <v>5338</v>
      </c>
      <c r="P221" t="s">
        <v>899</v>
      </c>
    </row>
    <row r="222" spans="1:16">
      <c r="A222" t="s">
        <v>236</v>
      </c>
      <c r="B222">
        <v>25</v>
      </c>
      <c r="C222">
        <v>25</v>
      </c>
      <c r="D222" t="s">
        <v>527</v>
      </c>
      <c r="E222" t="s">
        <v>601</v>
      </c>
      <c r="F222">
        <v>114683</v>
      </c>
      <c r="G222" t="s">
        <v>607</v>
      </c>
      <c r="H222">
        <f>F222-K222</f>
        <v>0</v>
      </c>
      <c r="I222" t="s">
        <v>826</v>
      </c>
      <c r="J222" t="s">
        <v>602</v>
      </c>
      <c r="K222">
        <v>88008</v>
      </c>
      <c r="L222" t="s">
        <v>899</v>
      </c>
      <c r="M222" t="s">
        <v>1119</v>
      </c>
      <c r="N222" t="s">
        <v>1197</v>
      </c>
      <c r="O222">
        <v>3149</v>
      </c>
      <c r="P222" t="s">
        <v>899</v>
      </c>
    </row>
    <row r="223" spans="1:16">
      <c r="A223" t="s">
        <v>237</v>
      </c>
      <c r="B223">
        <v>24</v>
      </c>
      <c r="C223">
        <v>24</v>
      </c>
      <c r="D223" t="s">
        <v>528</v>
      </c>
      <c r="E223" t="s">
        <v>601</v>
      </c>
      <c r="F223">
        <v>120877</v>
      </c>
      <c r="G223" t="s">
        <v>607</v>
      </c>
      <c r="H223">
        <f>F223-K223</f>
        <v>0</v>
      </c>
      <c r="I223" t="s">
        <v>827</v>
      </c>
      <c r="J223" t="s">
        <v>602</v>
      </c>
      <c r="K223">
        <v>82730</v>
      </c>
      <c r="L223" t="s">
        <v>899</v>
      </c>
      <c r="M223" t="s">
        <v>1120</v>
      </c>
      <c r="N223" t="s">
        <v>605</v>
      </c>
      <c r="O223">
        <v>6604</v>
      </c>
      <c r="P223" t="s">
        <v>899</v>
      </c>
    </row>
    <row r="224" spans="1:16">
      <c r="A224" t="s">
        <v>238</v>
      </c>
      <c r="B224">
        <v>22</v>
      </c>
      <c r="C224">
        <v>22</v>
      </c>
      <c r="D224" t="s">
        <v>529</v>
      </c>
      <c r="E224" t="s">
        <v>601</v>
      </c>
      <c r="F224">
        <v>113713</v>
      </c>
      <c r="G224" t="s">
        <v>607</v>
      </c>
      <c r="H224">
        <f>F224-K224</f>
        <v>0</v>
      </c>
      <c r="I224" t="s">
        <v>828</v>
      </c>
      <c r="J224" t="s">
        <v>602</v>
      </c>
      <c r="K224">
        <v>97826</v>
      </c>
      <c r="L224" t="s">
        <v>899</v>
      </c>
      <c r="M224" t="s">
        <v>1121</v>
      </c>
      <c r="N224" t="s">
        <v>605</v>
      </c>
      <c r="O224">
        <v>6248</v>
      </c>
      <c r="P224" t="s">
        <v>899</v>
      </c>
    </row>
    <row r="225" spans="1:16">
      <c r="A225" t="s">
        <v>239</v>
      </c>
      <c r="B225">
        <v>20</v>
      </c>
      <c r="C225">
        <v>19</v>
      </c>
      <c r="D225" t="s">
        <v>530</v>
      </c>
      <c r="E225" t="s">
        <v>601</v>
      </c>
      <c r="F225">
        <v>88512</v>
      </c>
      <c r="G225" t="s">
        <v>608</v>
      </c>
      <c r="H225">
        <f>F225-K225</f>
        <v>0</v>
      </c>
      <c r="I225" t="s">
        <v>829</v>
      </c>
      <c r="J225" t="s">
        <v>602</v>
      </c>
      <c r="K225">
        <v>57413</v>
      </c>
      <c r="L225" t="s">
        <v>900</v>
      </c>
      <c r="M225" t="s">
        <v>1122</v>
      </c>
      <c r="N225" t="s">
        <v>605</v>
      </c>
      <c r="O225">
        <v>5376</v>
      </c>
      <c r="P225" t="s">
        <v>900</v>
      </c>
    </row>
    <row r="226" spans="1:16">
      <c r="A226" t="s">
        <v>240</v>
      </c>
      <c r="B226">
        <v>22</v>
      </c>
      <c r="C226">
        <v>22</v>
      </c>
      <c r="D226" t="s">
        <v>531</v>
      </c>
      <c r="E226" t="s">
        <v>601</v>
      </c>
      <c r="F226">
        <v>116050</v>
      </c>
      <c r="G226" t="s">
        <v>607</v>
      </c>
      <c r="H226">
        <f>F226-K226</f>
        <v>0</v>
      </c>
      <c r="I226" t="s">
        <v>830</v>
      </c>
      <c r="J226" t="s">
        <v>602</v>
      </c>
      <c r="K226">
        <v>95683</v>
      </c>
      <c r="L226" t="s">
        <v>899</v>
      </c>
      <c r="M226" t="s">
        <v>1123</v>
      </c>
      <c r="N226" t="s">
        <v>605</v>
      </c>
      <c r="O226">
        <v>7345</v>
      </c>
      <c r="P226" t="s">
        <v>899</v>
      </c>
    </row>
    <row r="227" spans="1:16">
      <c r="A227" t="s">
        <v>241</v>
      </c>
      <c r="B227">
        <v>27</v>
      </c>
      <c r="C227">
        <v>27</v>
      </c>
      <c r="D227" t="s">
        <v>532</v>
      </c>
      <c r="E227" t="s">
        <v>601</v>
      </c>
      <c r="F227">
        <v>127783</v>
      </c>
      <c r="G227" t="s">
        <v>607</v>
      </c>
      <c r="H227">
        <f>F227-K227</f>
        <v>0</v>
      </c>
      <c r="I227" t="s">
        <v>831</v>
      </c>
      <c r="J227" t="s">
        <v>602</v>
      </c>
      <c r="K227">
        <v>116647</v>
      </c>
      <c r="L227" t="s">
        <v>899</v>
      </c>
      <c r="M227" t="s">
        <v>1124</v>
      </c>
      <c r="N227" t="s">
        <v>605</v>
      </c>
      <c r="O227">
        <v>6978</v>
      </c>
      <c r="P227" t="s">
        <v>899</v>
      </c>
    </row>
    <row r="228" spans="1:16">
      <c r="A228" t="s">
        <v>242</v>
      </c>
      <c r="B228">
        <v>24</v>
      </c>
      <c r="C228">
        <v>24</v>
      </c>
      <c r="D228" t="s">
        <v>533</v>
      </c>
      <c r="E228" t="s">
        <v>601</v>
      </c>
      <c r="F228">
        <v>124189</v>
      </c>
      <c r="G228" t="s">
        <v>607</v>
      </c>
      <c r="H228">
        <f>F228-K228</f>
        <v>0</v>
      </c>
      <c r="I228" t="s">
        <v>832</v>
      </c>
      <c r="J228" t="s">
        <v>602</v>
      </c>
      <c r="K228">
        <v>105709</v>
      </c>
      <c r="L228" t="s">
        <v>899</v>
      </c>
      <c r="M228" t="s">
        <v>1125</v>
      </c>
      <c r="N228" t="s">
        <v>1197</v>
      </c>
      <c r="O228">
        <v>6423</v>
      </c>
      <c r="P228" t="s">
        <v>899</v>
      </c>
    </row>
    <row r="229" spans="1:16">
      <c r="A229" t="s">
        <v>243</v>
      </c>
      <c r="B229">
        <v>19</v>
      </c>
      <c r="C229">
        <v>19</v>
      </c>
      <c r="D229" t="s">
        <v>534</v>
      </c>
      <c r="E229" t="s">
        <v>602</v>
      </c>
      <c r="F229">
        <v>98320</v>
      </c>
      <c r="G229" t="s">
        <v>607</v>
      </c>
      <c r="H229">
        <f>F229-K229</f>
        <v>0</v>
      </c>
      <c r="I229" t="s">
        <v>833</v>
      </c>
      <c r="J229" t="s">
        <v>601</v>
      </c>
      <c r="K229">
        <v>95448</v>
      </c>
      <c r="L229" t="s">
        <v>899</v>
      </c>
      <c r="M229" t="s">
        <v>1126</v>
      </c>
      <c r="N229" t="s">
        <v>605</v>
      </c>
      <c r="O229">
        <v>7951</v>
      </c>
      <c r="P229" t="s">
        <v>899</v>
      </c>
    </row>
    <row r="230" spans="1:16">
      <c r="A230" t="s">
        <v>244</v>
      </c>
      <c r="B230">
        <v>18</v>
      </c>
      <c r="C230">
        <v>18</v>
      </c>
      <c r="D230" t="s">
        <v>535</v>
      </c>
      <c r="E230" t="s">
        <v>601</v>
      </c>
      <c r="F230">
        <v>114463</v>
      </c>
      <c r="G230" t="s">
        <v>607</v>
      </c>
      <c r="H230">
        <f>F230-K230</f>
        <v>0</v>
      </c>
      <c r="I230" t="s">
        <v>834</v>
      </c>
      <c r="J230" t="s">
        <v>602</v>
      </c>
      <c r="K230">
        <v>85662</v>
      </c>
      <c r="L230" t="s">
        <v>899</v>
      </c>
      <c r="M230" t="s">
        <v>1127</v>
      </c>
      <c r="N230" t="s">
        <v>605</v>
      </c>
      <c r="O230">
        <v>12473</v>
      </c>
      <c r="P230" t="s">
        <v>899</v>
      </c>
    </row>
    <row r="231" spans="1:16">
      <c r="A231" t="s">
        <v>245</v>
      </c>
      <c r="B231">
        <v>20</v>
      </c>
      <c r="C231">
        <v>20</v>
      </c>
      <c r="D231" t="s">
        <v>536</v>
      </c>
      <c r="E231" t="s">
        <v>601</v>
      </c>
      <c r="F231">
        <v>133071</v>
      </c>
      <c r="G231" t="s">
        <v>607</v>
      </c>
      <c r="H231">
        <f>F231-K231</f>
        <v>0</v>
      </c>
      <c r="I231" t="s">
        <v>835</v>
      </c>
      <c r="J231" t="s">
        <v>602</v>
      </c>
      <c r="K231">
        <v>100937</v>
      </c>
      <c r="L231" t="s">
        <v>899</v>
      </c>
      <c r="M231" t="s">
        <v>1128</v>
      </c>
      <c r="N231" t="s">
        <v>605</v>
      </c>
      <c r="O231">
        <v>12278</v>
      </c>
      <c r="P231" t="s">
        <v>899</v>
      </c>
    </row>
    <row r="232" spans="1:16">
      <c r="A232" t="s">
        <v>246</v>
      </c>
      <c r="B232">
        <v>19</v>
      </c>
      <c r="C232">
        <v>19</v>
      </c>
      <c r="D232" t="s">
        <v>537</v>
      </c>
      <c r="E232" t="s">
        <v>601</v>
      </c>
      <c r="F232">
        <v>131550</v>
      </c>
      <c r="G232" t="s">
        <v>607</v>
      </c>
      <c r="H232">
        <f>F232-K232</f>
        <v>0</v>
      </c>
      <c r="I232" t="s">
        <v>836</v>
      </c>
      <c r="J232" t="s">
        <v>602</v>
      </c>
      <c r="K232">
        <v>93893</v>
      </c>
      <c r="L232" t="s">
        <v>899</v>
      </c>
      <c r="M232" t="s">
        <v>1129</v>
      </c>
      <c r="N232" t="s">
        <v>605</v>
      </c>
      <c r="O232">
        <v>9352</v>
      </c>
      <c r="P232" t="s">
        <v>899</v>
      </c>
    </row>
    <row r="233" spans="1:16">
      <c r="A233" t="s">
        <v>247</v>
      </c>
      <c r="B233">
        <v>19</v>
      </c>
      <c r="C233">
        <v>19</v>
      </c>
      <c r="D233" t="s">
        <v>538</v>
      </c>
      <c r="E233" t="s">
        <v>601</v>
      </c>
      <c r="F233">
        <v>140517</v>
      </c>
      <c r="G233" t="s">
        <v>607</v>
      </c>
      <c r="H233">
        <f>F233-K233</f>
        <v>0</v>
      </c>
      <c r="I233" t="s">
        <v>837</v>
      </c>
      <c r="J233" t="s">
        <v>602</v>
      </c>
      <c r="K233">
        <v>107036</v>
      </c>
      <c r="L233" t="s">
        <v>899</v>
      </c>
      <c r="M233" t="s">
        <v>1130</v>
      </c>
      <c r="N233" t="s">
        <v>605</v>
      </c>
      <c r="O233">
        <v>12142</v>
      </c>
      <c r="P233" t="s">
        <v>899</v>
      </c>
    </row>
    <row r="234" spans="1:16">
      <c r="A234" t="s">
        <v>248</v>
      </c>
      <c r="B234">
        <v>18</v>
      </c>
      <c r="C234">
        <v>18</v>
      </c>
      <c r="D234" t="s">
        <v>539</v>
      </c>
      <c r="E234" t="s">
        <v>601</v>
      </c>
      <c r="F234">
        <v>113752</v>
      </c>
      <c r="G234" t="s">
        <v>607</v>
      </c>
      <c r="H234">
        <f>F234-K234</f>
        <v>0</v>
      </c>
      <c r="I234" t="s">
        <v>838</v>
      </c>
      <c r="J234" t="s">
        <v>602</v>
      </c>
      <c r="K234">
        <v>87527</v>
      </c>
      <c r="L234" t="s">
        <v>899</v>
      </c>
      <c r="M234" t="s">
        <v>1131</v>
      </c>
      <c r="N234" t="s">
        <v>605</v>
      </c>
      <c r="O234">
        <v>14238</v>
      </c>
      <c r="P234" t="s">
        <v>899</v>
      </c>
    </row>
    <row r="235" spans="1:16">
      <c r="A235" t="s">
        <v>249</v>
      </c>
      <c r="B235">
        <v>18</v>
      </c>
      <c r="C235">
        <v>18</v>
      </c>
      <c r="D235" t="s">
        <v>540</v>
      </c>
      <c r="E235" t="s">
        <v>601</v>
      </c>
      <c r="F235">
        <v>132856</v>
      </c>
      <c r="G235" t="s">
        <v>607</v>
      </c>
      <c r="H235">
        <f>F235-K235</f>
        <v>0</v>
      </c>
      <c r="I235" t="s">
        <v>839</v>
      </c>
      <c r="J235" t="s">
        <v>602</v>
      </c>
      <c r="K235">
        <v>117613</v>
      </c>
      <c r="L235" t="s">
        <v>899</v>
      </c>
      <c r="M235" t="s">
        <v>1132</v>
      </c>
      <c r="N235" t="s">
        <v>606</v>
      </c>
      <c r="O235">
        <v>8635</v>
      </c>
      <c r="P235" t="s">
        <v>899</v>
      </c>
    </row>
    <row r="236" spans="1:16">
      <c r="A236" t="s">
        <v>250</v>
      </c>
      <c r="B236">
        <v>23</v>
      </c>
      <c r="C236">
        <v>23</v>
      </c>
      <c r="D236" t="s">
        <v>541</v>
      </c>
      <c r="E236" t="s">
        <v>602</v>
      </c>
      <c r="F236">
        <v>143123</v>
      </c>
      <c r="G236" t="s">
        <v>607</v>
      </c>
      <c r="H236">
        <f>F236-K236</f>
        <v>0</v>
      </c>
      <c r="I236" t="s">
        <v>840</v>
      </c>
      <c r="J236" t="s">
        <v>601</v>
      </c>
      <c r="K236">
        <v>93018</v>
      </c>
      <c r="L236" t="s">
        <v>899</v>
      </c>
      <c r="M236" t="s">
        <v>1133</v>
      </c>
      <c r="N236" t="s">
        <v>605</v>
      </c>
      <c r="O236">
        <v>10432</v>
      </c>
      <c r="P236" t="s">
        <v>899</v>
      </c>
    </row>
    <row r="237" spans="1:16">
      <c r="A237" t="s">
        <v>251</v>
      </c>
      <c r="B237">
        <v>21</v>
      </c>
      <c r="C237">
        <v>21</v>
      </c>
      <c r="D237" t="s">
        <v>542</v>
      </c>
      <c r="E237" t="s">
        <v>601</v>
      </c>
      <c r="F237">
        <v>133041</v>
      </c>
      <c r="G237" t="s">
        <v>607</v>
      </c>
      <c r="H237">
        <f>F237-K237</f>
        <v>0</v>
      </c>
      <c r="I237" t="s">
        <v>841</v>
      </c>
      <c r="J237" t="s">
        <v>602</v>
      </c>
      <c r="K237">
        <v>94294</v>
      </c>
      <c r="L237" t="s">
        <v>899</v>
      </c>
      <c r="M237" t="s">
        <v>1134</v>
      </c>
      <c r="N237" t="s">
        <v>1197</v>
      </c>
      <c r="O237">
        <v>7649</v>
      </c>
      <c r="P237" t="s">
        <v>899</v>
      </c>
    </row>
    <row r="238" spans="1:16">
      <c r="A238" t="s">
        <v>252</v>
      </c>
      <c r="B238">
        <v>22</v>
      </c>
      <c r="C238">
        <v>22</v>
      </c>
      <c r="D238" t="s">
        <v>543</v>
      </c>
      <c r="E238" t="s">
        <v>601</v>
      </c>
      <c r="F238">
        <v>107238</v>
      </c>
      <c r="G238" t="s">
        <v>607</v>
      </c>
      <c r="H238">
        <f>F238-K238</f>
        <v>0</v>
      </c>
      <c r="I238" t="s">
        <v>842</v>
      </c>
      <c r="J238" t="s">
        <v>602</v>
      </c>
      <c r="K238">
        <v>84261</v>
      </c>
      <c r="L238" t="s">
        <v>899</v>
      </c>
      <c r="M238" t="s">
        <v>1135</v>
      </c>
      <c r="N238" t="s">
        <v>605</v>
      </c>
      <c r="O238">
        <v>5619</v>
      </c>
      <c r="P238" t="s">
        <v>899</v>
      </c>
    </row>
    <row r="239" spans="1:16">
      <c r="A239" t="s">
        <v>253</v>
      </c>
      <c r="B239">
        <v>20</v>
      </c>
      <c r="C239">
        <v>20</v>
      </c>
      <c r="D239" t="s">
        <v>544</v>
      </c>
      <c r="E239" t="s">
        <v>601</v>
      </c>
      <c r="F239">
        <v>134080</v>
      </c>
      <c r="G239" t="s">
        <v>607</v>
      </c>
      <c r="H239">
        <f>F239-K239</f>
        <v>0</v>
      </c>
      <c r="I239" t="s">
        <v>843</v>
      </c>
      <c r="J239" t="s">
        <v>602</v>
      </c>
      <c r="K239">
        <v>104503</v>
      </c>
      <c r="L239" t="s">
        <v>899</v>
      </c>
      <c r="M239" t="s">
        <v>1136</v>
      </c>
      <c r="N239" t="s">
        <v>605</v>
      </c>
      <c r="O239">
        <v>15474</v>
      </c>
      <c r="P239" t="s">
        <v>899</v>
      </c>
    </row>
    <row r="240" spans="1:16">
      <c r="A240" t="s">
        <v>254</v>
      </c>
      <c r="B240">
        <v>22</v>
      </c>
      <c r="C240">
        <v>22</v>
      </c>
      <c r="D240" t="s">
        <v>545</v>
      </c>
      <c r="E240" t="s">
        <v>601</v>
      </c>
      <c r="F240">
        <v>118421</v>
      </c>
      <c r="G240" t="s">
        <v>607</v>
      </c>
      <c r="H240">
        <f>F240-K240</f>
        <v>0</v>
      </c>
      <c r="I240" t="s">
        <v>844</v>
      </c>
      <c r="J240" t="s">
        <v>602</v>
      </c>
      <c r="K240">
        <v>83370</v>
      </c>
      <c r="L240" t="s">
        <v>899</v>
      </c>
      <c r="M240" t="s">
        <v>1137</v>
      </c>
      <c r="N240" t="s">
        <v>605</v>
      </c>
      <c r="O240">
        <v>6575</v>
      </c>
      <c r="P240" t="s">
        <v>899</v>
      </c>
    </row>
    <row r="241" spans="1:16">
      <c r="A241" t="s">
        <v>255</v>
      </c>
      <c r="B241">
        <v>22</v>
      </c>
      <c r="C241">
        <v>22</v>
      </c>
      <c r="D241" t="s">
        <v>546</v>
      </c>
      <c r="E241" t="s">
        <v>601</v>
      </c>
      <c r="F241">
        <v>112663</v>
      </c>
      <c r="G241" t="s">
        <v>607</v>
      </c>
      <c r="H241">
        <f>F241-K241</f>
        <v>0</v>
      </c>
      <c r="I241" t="s">
        <v>845</v>
      </c>
      <c r="J241" t="s">
        <v>602</v>
      </c>
      <c r="K241">
        <v>71846</v>
      </c>
      <c r="L241" t="s">
        <v>899</v>
      </c>
      <c r="M241" t="s">
        <v>1138</v>
      </c>
      <c r="N241" t="s">
        <v>603</v>
      </c>
      <c r="O241">
        <v>31686</v>
      </c>
      <c r="P241" t="s">
        <v>899</v>
      </c>
    </row>
    <row r="242" spans="1:16">
      <c r="A242" t="s">
        <v>256</v>
      </c>
      <c r="B242">
        <v>24</v>
      </c>
      <c r="C242">
        <v>24</v>
      </c>
      <c r="D242" t="s">
        <v>547</v>
      </c>
      <c r="E242" t="s">
        <v>601</v>
      </c>
      <c r="F242">
        <v>104668</v>
      </c>
      <c r="G242" t="s">
        <v>607</v>
      </c>
      <c r="H242">
        <f>F242-K242</f>
        <v>0</v>
      </c>
      <c r="I242" t="s">
        <v>846</v>
      </c>
      <c r="J242" t="s">
        <v>602</v>
      </c>
      <c r="K242">
        <v>82450</v>
      </c>
      <c r="L242" t="s">
        <v>899</v>
      </c>
      <c r="M242" t="s">
        <v>1139</v>
      </c>
      <c r="N242" t="s">
        <v>603</v>
      </c>
      <c r="O242">
        <v>23263</v>
      </c>
      <c r="P242" t="s">
        <v>899</v>
      </c>
    </row>
    <row r="243" spans="1:16">
      <c r="A243" t="s">
        <v>257</v>
      </c>
      <c r="B243">
        <v>22</v>
      </c>
      <c r="C243">
        <v>22</v>
      </c>
      <c r="D243" t="s">
        <v>548</v>
      </c>
      <c r="E243" t="s">
        <v>601</v>
      </c>
      <c r="F243">
        <v>128454</v>
      </c>
      <c r="G243" t="s">
        <v>607</v>
      </c>
      <c r="H243">
        <f>F243-K243</f>
        <v>0</v>
      </c>
      <c r="I243" t="s">
        <v>847</v>
      </c>
      <c r="J243" t="s">
        <v>602</v>
      </c>
      <c r="K243">
        <v>79201</v>
      </c>
      <c r="L243" t="s">
        <v>899</v>
      </c>
      <c r="M243" t="s">
        <v>1140</v>
      </c>
      <c r="N243" t="s">
        <v>605</v>
      </c>
      <c r="O243">
        <v>10675</v>
      </c>
      <c r="P243" t="s">
        <v>899</v>
      </c>
    </row>
    <row r="244" spans="1:16">
      <c r="A244" t="s">
        <v>258</v>
      </c>
      <c r="B244">
        <v>16</v>
      </c>
      <c r="C244">
        <v>16</v>
      </c>
      <c r="D244" t="s">
        <v>549</v>
      </c>
      <c r="E244" t="s">
        <v>601</v>
      </c>
      <c r="F244">
        <v>120487</v>
      </c>
      <c r="G244" t="s">
        <v>607</v>
      </c>
      <c r="H244">
        <f>F244-K244</f>
        <v>0</v>
      </c>
      <c r="I244" t="s">
        <v>848</v>
      </c>
      <c r="J244" t="s">
        <v>602</v>
      </c>
      <c r="K244">
        <v>93204</v>
      </c>
      <c r="L244" t="s">
        <v>899</v>
      </c>
      <c r="M244" t="s">
        <v>1141</v>
      </c>
      <c r="N244" t="s">
        <v>605</v>
      </c>
      <c r="O244">
        <v>13410</v>
      </c>
      <c r="P244" t="s">
        <v>899</v>
      </c>
    </row>
    <row r="245" spans="1:16">
      <c r="A245" t="s">
        <v>259</v>
      </c>
      <c r="B245">
        <v>16</v>
      </c>
      <c r="C245">
        <v>16</v>
      </c>
      <c r="D245" t="s">
        <v>550</v>
      </c>
      <c r="E245" t="s">
        <v>601</v>
      </c>
      <c r="F245">
        <v>106571</v>
      </c>
      <c r="G245" t="s">
        <v>607</v>
      </c>
      <c r="H245">
        <f>F245-K245</f>
        <v>0</v>
      </c>
      <c r="I245" t="s">
        <v>849</v>
      </c>
      <c r="J245" t="s">
        <v>602</v>
      </c>
      <c r="K245">
        <v>85295</v>
      </c>
      <c r="L245" t="s">
        <v>899</v>
      </c>
      <c r="M245" t="s">
        <v>1142</v>
      </c>
      <c r="N245" t="s">
        <v>605</v>
      </c>
      <c r="O245">
        <v>10818</v>
      </c>
      <c r="P245" t="s">
        <v>899</v>
      </c>
    </row>
    <row r="246" spans="1:16">
      <c r="A246" t="s">
        <v>260</v>
      </c>
      <c r="B246">
        <v>23</v>
      </c>
      <c r="C246">
        <v>23</v>
      </c>
      <c r="D246" t="s">
        <v>551</v>
      </c>
      <c r="E246" t="s">
        <v>601</v>
      </c>
      <c r="F246">
        <v>113488</v>
      </c>
      <c r="G246" t="s">
        <v>607</v>
      </c>
      <c r="H246">
        <f>F246-K246</f>
        <v>0</v>
      </c>
      <c r="I246" t="s">
        <v>850</v>
      </c>
      <c r="J246" t="s">
        <v>602</v>
      </c>
      <c r="K246">
        <v>79767</v>
      </c>
      <c r="L246" t="s">
        <v>899</v>
      </c>
      <c r="M246" t="s">
        <v>1143</v>
      </c>
      <c r="N246" t="s">
        <v>605</v>
      </c>
      <c r="O246">
        <v>10419</v>
      </c>
      <c r="P246" t="s">
        <v>899</v>
      </c>
    </row>
    <row r="247" spans="1:16">
      <c r="A247" t="s">
        <v>261</v>
      </c>
      <c r="B247">
        <v>16</v>
      </c>
      <c r="C247">
        <v>16</v>
      </c>
      <c r="D247" t="s">
        <v>552</v>
      </c>
      <c r="E247" t="s">
        <v>601</v>
      </c>
      <c r="F247">
        <v>127628</v>
      </c>
      <c r="G247" t="s">
        <v>607</v>
      </c>
      <c r="H247">
        <f>F247-K247</f>
        <v>0</v>
      </c>
      <c r="I247" t="s">
        <v>851</v>
      </c>
      <c r="J247" t="s">
        <v>602</v>
      </c>
      <c r="K247">
        <v>83569</v>
      </c>
      <c r="L247" t="s">
        <v>899</v>
      </c>
      <c r="M247" t="s">
        <v>1144</v>
      </c>
      <c r="N247" t="s">
        <v>605</v>
      </c>
      <c r="O247">
        <v>10685</v>
      </c>
      <c r="P247" t="s">
        <v>899</v>
      </c>
    </row>
    <row r="248" spans="1:16">
      <c r="A248" t="s">
        <v>262</v>
      </c>
      <c r="B248">
        <v>15</v>
      </c>
      <c r="C248">
        <v>15</v>
      </c>
      <c r="D248" t="s">
        <v>553</v>
      </c>
      <c r="E248" t="s">
        <v>601</v>
      </c>
      <c r="F248">
        <v>115180</v>
      </c>
      <c r="G248" t="s">
        <v>607</v>
      </c>
      <c r="H248">
        <f>F248-K248</f>
        <v>0</v>
      </c>
      <c r="I248" t="s">
        <v>852</v>
      </c>
      <c r="J248" t="s">
        <v>602</v>
      </c>
      <c r="K248">
        <v>83045</v>
      </c>
      <c r="L248" t="s">
        <v>899</v>
      </c>
      <c r="M248" t="s">
        <v>1145</v>
      </c>
      <c r="N248" t="s">
        <v>605</v>
      </c>
      <c r="O248">
        <v>10500</v>
      </c>
      <c r="P248" t="s">
        <v>899</v>
      </c>
    </row>
    <row r="249" spans="1:16">
      <c r="A249" t="s">
        <v>263</v>
      </c>
      <c r="B249">
        <v>23</v>
      </c>
      <c r="C249">
        <v>23</v>
      </c>
      <c r="D249" t="s">
        <v>554</v>
      </c>
      <c r="E249" t="s">
        <v>601</v>
      </c>
      <c r="F249">
        <v>125972</v>
      </c>
      <c r="G249" t="s">
        <v>607</v>
      </c>
      <c r="H249">
        <f>F249-K249</f>
        <v>0</v>
      </c>
      <c r="I249" t="s">
        <v>853</v>
      </c>
      <c r="J249" t="s">
        <v>602</v>
      </c>
      <c r="K249">
        <v>78798</v>
      </c>
      <c r="L249" t="s">
        <v>899</v>
      </c>
      <c r="M249" t="s">
        <v>1146</v>
      </c>
      <c r="N249" t="s">
        <v>1193</v>
      </c>
      <c r="O249">
        <v>5934</v>
      </c>
      <c r="P249" t="s">
        <v>899</v>
      </c>
    </row>
    <row r="250" spans="1:16">
      <c r="A250" t="s">
        <v>264</v>
      </c>
      <c r="B250">
        <v>19</v>
      </c>
      <c r="C250">
        <v>19</v>
      </c>
      <c r="D250" t="s">
        <v>555</v>
      </c>
      <c r="E250" t="s">
        <v>601</v>
      </c>
      <c r="F250">
        <v>131145</v>
      </c>
      <c r="G250" t="s">
        <v>607</v>
      </c>
      <c r="H250">
        <f>F250-K250</f>
        <v>0</v>
      </c>
      <c r="I250" t="s">
        <v>854</v>
      </c>
      <c r="J250" t="s">
        <v>602</v>
      </c>
      <c r="K250">
        <v>78876</v>
      </c>
      <c r="L250" t="s">
        <v>899</v>
      </c>
      <c r="M250" t="s">
        <v>1147</v>
      </c>
      <c r="N250" t="s">
        <v>605</v>
      </c>
      <c r="O250">
        <v>13200</v>
      </c>
      <c r="P250" t="s">
        <v>899</v>
      </c>
    </row>
    <row r="251" spans="1:16">
      <c r="A251" t="s">
        <v>265</v>
      </c>
      <c r="B251">
        <v>14</v>
      </c>
      <c r="C251">
        <v>14</v>
      </c>
      <c r="D251" t="s">
        <v>556</v>
      </c>
      <c r="E251" t="s">
        <v>601</v>
      </c>
      <c r="F251">
        <v>111443</v>
      </c>
      <c r="G251" t="s">
        <v>607</v>
      </c>
      <c r="H251">
        <f>F251-K251</f>
        <v>0</v>
      </c>
      <c r="I251" t="s">
        <v>855</v>
      </c>
      <c r="J251" t="s">
        <v>602</v>
      </c>
      <c r="K251">
        <v>82701</v>
      </c>
      <c r="L251" t="s">
        <v>899</v>
      </c>
      <c r="M251" t="s">
        <v>1148</v>
      </c>
      <c r="N251" t="s">
        <v>605</v>
      </c>
      <c r="O251">
        <v>8316</v>
      </c>
      <c r="P251" t="s">
        <v>899</v>
      </c>
    </row>
    <row r="252" spans="1:16">
      <c r="A252" t="s">
        <v>266</v>
      </c>
      <c r="B252">
        <v>18</v>
      </c>
      <c r="C252">
        <v>18</v>
      </c>
      <c r="D252" t="s">
        <v>557</v>
      </c>
      <c r="E252" t="s">
        <v>601</v>
      </c>
      <c r="F252">
        <v>124537</v>
      </c>
      <c r="G252" t="s">
        <v>607</v>
      </c>
      <c r="H252">
        <f>F252-K252</f>
        <v>0</v>
      </c>
      <c r="I252" t="s">
        <v>856</v>
      </c>
      <c r="J252" t="s">
        <v>602</v>
      </c>
      <c r="K252">
        <v>74464</v>
      </c>
      <c r="L252" t="s">
        <v>899</v>
      </c>
      <c r="M252" t="s">
        <v>1149</v>
      </c>
      <c r="N252" t="s">
        <v>605</v>
      </c>
      <c r="O252">
        <v>13586</v>
      </c>
      <c r="P252" t="s">
        <v>899</v>
      </c>
    </row>
    <row r="253" spans="1:16">
      <c r="A253" t="s">
        <v>267</v>
      </c>
      <c r="B253">
        <v>24</v>
      </c>
      <c r="C253">
        <v>24</v>
      </c>
      <c r="D253" t="s">
        <v>558</v>
      </c>
      <c r="E253" t="s">
        <v>601</v>
      </c>
      <c r="F253">
        <v>136992</v>
      </c>
      <c r="G253" t="s">
        <v>607</v>
      </c>
      <c r="H253">
        <f>F253-K253</f>
        <v>0</v>
      </c>
      <c r="I253" t="s">
        <v>857</v>
      </c>
      <c r="J253" t="s">
        <v>602</v>
      </c>
      <c r="K253">
        <v>82815</v>
      </c>
      <c r="L253" t="s">
        <v>899</v>
      </c>
      <c r="M253" t="s">
        <v>1150</v>
      </c>
      <c r="N253" t="s">
        <v>605</v>
      </c>
      <c r="O253">
        <v>9702</v>
      </c>
      <c r="P253" t="s">
        <v>899</v>
      </c>
    </row>
    <row r="254" spans="1:16">
      <c r="A254" t="s">
        <v>268</v>
      </c>
      <c r="B254">
        <v>23</v>
      </c>
      <c r="C254">
        <v>23</v>
      </c>
      <c r="D254" t="s">
        <v>559</v>
      </c>
      <c r="E254" t="s">
        <v>601</v>
      </c>
      <c r="F254">
        <v>125419</v>
      </c>
      <c r="G254" t="s">
        <v>607</v>
      </c>
      <c r="H254">
        <f>F254-K254</f>
        <v>0</v>
      </c>
      <c r="I254" t="s">
        <v>858</v>
      </c>
      <c r="J254" t="s">
        <v>602</v>
      </c>
      <c r="K254">
        <v>84109</v>
      </c>
      <c r="L254" t="s">
        <v>899</v>
      </c>
      <c r="M254" t="s">
        <v>1151</v>
      </c>
      <c r="N254" t="s">
        <v>605</v>
      </c>
      <c r="O254">
        <v>14868</v>
      </c>
      <c r="P254" t="s">
        <v>899</v>
      </c>
    </row>
    <row r="255" spans="1:16">
      <c r="A255" t="s">
        <v>269</v>
      </c>
      <c r="B255">
        <v>23</v>
      </c>
      <c r="C255">
        <v>23</v>
      </c>
      <c r="D255" t="s">
        <v>560</v>
      </c>
      <c r="E255" t="s">
        <v>601</v>
      </c>
      <c r="F255">
        <v>128296</v>
      </c>
      <c r="G255" t="s">
        <v>607</v>
      </c>
      <c r="H255">
        <f>F255-K255</f>
        <v>0</v>
      </c>
      <c r="I255" t="s">
        <v>859</v>
      </c>
      <c r="J255" t="s">
        <v>602</v>
      </c>
      <c r="K255">
        <v>96573</v>
      </c>
      <c r="L255" t="s">
        <v>899</v>
      </c>
      <c r="M255" t="s">
        <v>1152</v>
      </c>
      <c r="N255" t="s">
        <v>1192</v>
      </c>
      <c r="O255">
        <v>9702</v>
      </c>
      <c r="P255" t="s">
        <v>899</v>
      </c>
    </row>
    <row r="256" spans="1:16">
      <c r="A256" t="s">
        <v>270</v>
      </c>
      <c r="B256">
        <v>19</v>
      </c>
      <c r="C256">
        <v>19</v>
      </c>
      <c r="D256" t="s">
        <v>561</v>
      </c>
      <c r="E256" t="s">
        <v>601</v>
      </c>
      <c r="F256">
        <v>111082</v>
      </c>
      <c r="G256" t="s">
        <v>607</v>
      </c>
      <c r="H256">
        <f>F256-K256</f>
        <v>0</v>
      </c>
      <c r="I256" t="s">
        <v>860</v>
      </c>
      <c r="J256" t="s">
        <v>602</v>
      </c>
      <c r="K256">
        <v>80477</v>
      </c>
      <c r="L256" t="s">
        <v>899</v>
      </c>
      <c r="M256" t="s">
        <v>1153</v>
      </c>
      <c r="N256" t="s">
        <v>1196</v>
      </c>
      <c r="O256">
        <v>5385</v>
      </c>
      <c r="P256" t="s">
        <v>899</v>
      </c>
    </row>
    <row r="257" spans="1:16">
      <c r="A257" t="s">
        <v>271</v>
      </c>
      <c r="B257">
        <v>25</v>
      </c>
      <c r="C257">
        <v>25</v>
      </c>
      <c r="D257" t="s">
        <v>562</v>
      </c>
      <c r="E257" t="s">
        <v>601</v>
      </c>
      <c r="F257">
        <v>126241</v>
      </c>
      <c r="G257" t="s">
        <v>607</v>
      </c>
      <c r="H257">
        <f>F257-K257</f>
        <v>0</v>
      </c>
      <c r="I257" t="s">
        <v>861</v>
      </c>
      <c r="J257" t="s">
        <v>602</v>
      </c>
      <c r="K257">
        <v>91874</v>
      </c>
      <c r="L257" t="s">
        <v>899</v>
      </c>
      <c r="M257" t="s">
        <v>1154</v>
      </c>
      <c r="N257" t="s">
        <v>605</v>
      </c>
      <c r="O257">
        <v>13380</v>
      </c>
      <c r="P257" t="s">
        <v>899</v>
      </c>
    </row>
    <row r="258" spans="1:16">
      <c r="A258" t="s">
        <v>272</v>
      </c>
      <c r="B258">
        <v>22</v>
      </c>
      <c r="C258">
        <v>22</v>
      </c>
      <c r="D258" t="s">
        <v>563</v>
      </c>
      <c r="E258" t="s">
        <v>601</v>
      </c>
      <c r="F258">
        <v>108733</v>
      </c>
      <c r="G258" t="s">
        <v>607</v>
      </c>
      <c r="H258">
        <f>F258-K258</f>
        <v>0</v>
      </c>
      <c r="I258" t="s">
        <v>862</v>
      </c>
      <c r="J258" t="s">
        <v>602</v>
      </c>
      <c r="K258">
        <v>107833</v>
      </c>
      <c r="L258" t="s">
        <v>899</v>
      </c>
      <c r="M258" t="s">
        <v>1155</v>
      </c>
      <c r="N258" t="s">
        <v>605</v>
      </c>
      <c r="O258">
        <v>7027</v>
      </c>
      <c r="P258" t="s">
        <v>899</v>
      </c>
    </row>
    <row r="259" spans="1:16">
      <c r="A259" t="s">
        <v>273</v>
      </c>
      <c r="B259">
        <v>21</v>
      </c>
      <c r="C259">
        <v>21</v>
      </c>
      <c r="D259" t="s">
        <v>564</v>
      </c>
      <c r="E259" t="s">
        <v>601</v>
      </c>
      <c r="F259">
        <v>115549</v>
      </c>
      <c r="G259" t="s">
        <v>607</v>
      </c>
      <c r="H259">
        <f>F259-K259</f>
        <v>0</v>
      </c>
      <c r="I259" t="s">
        <v>863</v>
      </c>
      <c r="J259" t="s">
        <v>602</v>
      </c>
      <c r="K259">
        <v>86139</v>
      </c>
      <c r="L259" t="s">
        <v>899</v>
      </c>
      <c r="M259" t="s">
        <v>1156</v>
      </c>
      <c r="N259" t="s">
        <v>605</v>
      </c>
      <c r="O259">
        <v>10537</v>
      </c>
      <c r="P259" t="s">
        <v>899</v>
      </c>
    </row>
    <row r="260" spans="1:16">
      <c r="A260" t="s">
        <v>274</v>
      </c>
      <c r="B260">
        <v>14</v>
      </c>
      <c r="C260">
        <v>14</v>
      </c>
      <c r="D260" t="s">
        <v>565</v>
      </c>
      <c r="E260" t="s">
        <v>602</v>
      </c>
      <c r="F260">
        <v>104183</v>
      </c>
      <c r="G260" t="s">
        <v>607</v>
      </c>
      <c r="H260">
        <f>F260-K260</f>
        <v>0</v>
      </c>
      <c r="I260" t="s">
        <v>864</v>
      </c>
      <c r="J260" t="s">
        <v>601</v>
      </c>
      <c r="K260">
        <v>95899</v>
      </c>
      <c r="L260" t="s">
        <v>899</v>
      </c>
      <c r="M260" t="s">
        <v>1157</v>
      </c>
      <c r="N260" t="s">
        <v>605</v>
      </c>
      <c r="O260">
        <v>17535</v>
      </c>
      <c r="P260" t="s">
        <v>899</v>
      </c>
    </row>
    <row r="261" spans="1:16">
      <c r="A261" t="s">
        <v>275</v>
      </c>
      <c r="B261">
        <v>18</v>
      </c>
      <c r="C261">
        <v>18</v>
      </c>
      <c r="D261" t="s">
        <v>566</v>
      </c>
      <c r="E261" t="s">
        <v>601</v>
      </c>
      <c r="F261">
        <v>107754</v>
      </c>
      <c r="G261" t="s">
        <v>607</v>
      </c>
      <c r="H261">
        <f>F261-K261</f>
        <v>0</v>
      </c>
      <c r="I261" t="s">
        <v>593</v>
      </c>
      <c r="J261" t="s">
        <v>602</v>
      </c>
      <c r="K261">
        <v>77284</v>
      </c>
      <c r="L261" t="s">
        <v>899</v>
      </c>
      <c r="M261" t="s">
        <v>1158</v>
      </c>
      <c r="N261" t="s">
        <v>605</v>
      </c>
      <c r="O261">
        <v>13137</v>
      </c>
      <c r="P261" t="s">
        <v>899</v>
      </c>
    </row>
    <row r="262" spans="1:16">
      <c r="A262" t="s">
        <v>276</v>
      </c>
      <c r="B262">
        <v>14</v>
      </c>
      <c r="C262">
        <v>14</v>
      </c>
      <c r="D262" t="s">
        <v>567</v>
      </c>
      <c r="E262" t="s">
        <v>601</v>
      </c>
      <c r="F262">
        <v>103487</v>
      </c>
      <c r="G262" t="s">
        <v>607</v>
      </c>
      <c r="H262">
        <f>F262-K262</f>
        <v>0</v>
      </c>
      <c r="I262" t="s">
        <v>865</v>
      </c>
      <c r="J262" t="s">
        <v>602</v>
      </c>
      <c r="K262">
        <v>102653</v>
      </c>
      <c r="L262" t="s">
        <v>899</v>
      </c>
      <c r="M262" t="s">
        <v>1159</v>
      </c>
      <c r="N262" t="s">
        <v>605</v>
      </c>
      <c r="O262">
        <v>19674</v>
      </c>
      <c r="P262" t="s">
        <v>899</v>
      </c>
    </row>
    <row r="263" spans="1:16">
      <c r="A263" t="s">
        <v>277</v>
      </c>
      <c r="B263">
        <v>14</v>
      </c>
      <c r="C263">
        <v>14</v>
      </c>
      <c r="D263" t="s">
        <v>568</v>
      </c>
      <c r="E263" t="s">
        <v>601</v>
      </c>
      <c r="F263">
        <v>99936</v>
      </c>
      <c r="G263" t="s">
        <v>607</v>
      </c>
      <c r="H263">
        <f>F263-K263</f>
        <v>0</v>
      </c>
      <c r="I263" t="s">
        <v>866</v>
      </c>
      <c r="J263" t="s">
        <v>602</v>
      </c>
      <c r="K263">
        <v>88758</v>
      </c>
      <c r="L263" t="s">
        <v>899</v>
      </c>
      <c r="M263" t="s">
        <v>1160</v>
      </c>
      <c r="N263" t="s">
        <v>605</v>
      </c>
      <c r="O263">
        <v>18732</v>
      </c>
      <c r="P263" t="s">
        <v>899</v>
      </c>
    </row>
    <row r="264" spans="1:16">
      <c r="A264" t="s">
        <v>278</v>
      </c>
      <c r="B264">
        <v>21</v>
      </c>
      <c r="C264">
        <v>21</v>
      </c>
      <c r="D264" t="s">
        <v>569</v>
      </c>
      <c r="E264" t="s">
        <v>601</v>
      </c>
      <c r="F264">
        <v>96559</v>
      </c>
      <c r="G264" t="s">
        <v>607</v>
      </c>
      <c r="H264">
        <f>F264-K264</f>
        <v>0</v>
      </c>
      <c r="I264" t="s">
        <v>867</v>
      </c>
      <c r="J264" t="s">
        <v>602</v>
      </c>
      <c r="K264">
        <v>81761</v>
      </c>
      <c r="L264" t="s">
        <v>899</v>
      </c>
      <c r="M264" t="s">
        <v>491</v>
      </c>
      <c r="N264" t="s">
        <v>605</v>
      </c>
      <c r="O264">
        <v>18192</v>
      </c>
      <c r="P264" t="s">
        <v>899</v>
      </c>
    </row>
    <row r="265" spans="1:16">
      <c r="A265" t="s">
        <v>279</v>
      </c>
      <c r="B265">
        <v>21</v>
      </c>
      <c r="C265">
        <v>21</v>
      </c>
      <c r="D265" t="s">
        <v>570</v>
      </c>
      <c r="E265" t="s">
        <v>601</v>
      </c>
      <c r="F265">
        <v>110790</v>
      </c>
      <c r="G265" t="s">
        <v>607</v>
      </c>
      <c r="H265">
        <f>F265-K265</f>
        <v>0</v>
      </c>
      <c r="I265" t="s">
        <v>868</v>
      </c>
      <c r="J265" t="s">
        <v>602</v>
      </c>
      <c r="K265">
        <v>82160</v>
      </c>
      <c r="L265" t="s">
        <v>899</v>
      </c>
      <c r="M265" t="s">
        <v>1161</v>
      </c>
      <c r="N265" t="s">
        <v>605</v>
      </c>
      <c r="O265">
        <v>13784</v>
      </c>
      <c r="P265" t="s">
        <v>899</v>
      </c>
    </row>
    <row r="266" spans="1:16">
      <c r="A266" t="s">
        <v>280</v>
      </c>
      <c r="B266">
        <v>15</v>
      </c>
      <c r="C266">
        <v>15</v>
      </c>
      <c r="D266" t="s">
        <v>571</v>
      </c>
      <c r="E266" t="s">
        <v>601</v>
      </c>
      <c r="F266">
        <v>106428</v>
      </c>
      <c r="G266" t="s">
        <v>607</v>
      </c>
      <c r="H266">
        <f>F266-K266</f>
        <v>0</v>
      </c>
      <c r="I266" t="s">
        <v>869</v>
      </c>
      <c r="J266" t="s">
        <v>602</v>
      </c>
      <c r="K266">
        <v>99322</v>
      </c>
      <c r="L266" t="s">
        <v>899</v>
      </c>
      <c r="M266" t="s">
        <v>1162</v>
      </c>
      <c r="N266" t="s">
        <v>605</v>
      </c>
      <c r="O266">
        <v>16891</v>
      </c>
      <c r="P266" t="s">
        <v>899</v>
      </c>
    </row>
    <row r="267" spans="1:16">
      <c r="A267" t="s">
        <v>281</v>
      </c>
      <c r="B267">
        <v>16</v>
      </c>
      <c r="C267">
        <v>10</v>
      </c>
      <c r="D267" t="s">
        <v>572</v>
      </c>
      <c r="E267" t="s">
        <v>602</v>
      </c>
      <c r="F267">
        <v>74796</v>
      </c>
      <c r="G267" t="s">
        <v>608</v>
      </c>
      <c r="H267">
        <f>F267-K267</f>
        <v>0</v>
      </c>
      <c r="I267" t="s">
        <v>870</v>
      </c>
      <c r="J267" t="s">
        <v>601</v>
      </c>
      <c r="K267">
        <v>60328</v>
      </c>
      <c r="L267" t="s">
        <v>900</v>
      </c>
      <c r="M267" t="s">
        <v>1163</v>
      </c>
      <c r="N267" t="s">
        <v>605</v>
      </c>
      <c r="O267">
        <v>12361</v>
      </c>
      <c r="P267" t="s">
        <v>900</v>
      </c>
    </row>
    <row r="268" spans="1:16">
      <c r="A268" t="s">
        <v>282</v>
      </c>
      <c r="B268">
        <v>14</v>
      </c>
      <c r="C268">
        <v>14</v>
      </c>
      <c r="D268" t="s">
        <v>573</v>
      </c>
      <c r="E268" t="s">
        <v>601</v>
      </c>
      <c r="F268">
        <v>98820</v>
      </c>
      <c r="G268" t="s">
        <v>607</v>
      </c>
      <c r="H268">
        <f>F268-K268</f>
        <v>0</v>
      </c>
      <c r="I268" t="s">
        <v>871</v>
      </c>
      <c r="J268" t="s">
        <v>602</v>
      </c>
      <c r="K268">
        <v>92292</v>
      </c>
      <c r="L268" t="s">
        <v>899</v>
      </c>
      <c r="M268" t="s">
        <v>1164</v>
      </c>
      <c r="N268" t="s">
        <v>605</v>
      </c>
      <c r="O268">
        <v>12839</v>
      </c>
      <c r="P268" t="s">
        <v>899</v>
      </c>
    </row>
    <row r="269" spans="1:16">
      <c r="A269" t="s">
        <v>283</v>
      </c>
      <c r="B269">
        <v>20</v>
      </c>
      <c r="C269">
        <v>20</v>
      </c>
      <c r="D269" t="s">
        <v>574</v>
      </c>
      <c r="E269" t="s">
        <v>601</v>
      </c>
      <c r="F269">
        <v>111004</v>
      </c>
      <c r="G269" t="s">
        <v>607</v>
      </c>
      <c r="H269">
        <f>F269-K269</f>
        <v>0</v>
      </c>
      <c r="I269" t="s">
        <v>872</v>
      </c>
      <c r="J269" t="s">
        <v>602</v>
      </c>
      <c r="K269">
        <v>94342</v>
      </c>
      <c r="L269" t="s">
        <v>899</v>
      </c>
      <c r="M269" t="s">
        <v>1165</v>
      </c>
      <c r="N269" t="s">
        <v>1196</v>
      </c>
      <c r="O269">
        <v>7282</v>
      </c>
      <c r="P269" t="s">
        <v>899</v>
      </c>
    </row>
    <row r="270" spans="1:16">
      <c r="A270" t="s">
        <v>284</v>
      </c>
      <c r="B270">
        <v>21</v>
      </c>
      <c r="C270">
        <v>21</v>
      </c>
      <c r="D270" t="s">
        <v>575</v>
      </c>
      <c r="E270" t="s">
        <v>601</v>
      </c>
      <c r="F270">
        <v>111379</v>
      </c>
      <c r="G270" t="s">
        <v>607</v>
      </c>
      <c r="H270">
        <f>F270-K270</f>
        <v>0</v>
      </c>
      <c r="I270" t="s">
        <v>873</v>
      </c>
      <c r="J270" t="s">
        <v>602</v>
      </c>
      <c r="K270">
        <v>81153</v>
      </c>
      <c r="L270" t="s">
        <v>899</v>
      </c>
      <c r="M270" t="s">
        <v>1166</v>
      </c>
      <c r="N270" t="s">
        <v>605</v>
      </c>
      <c r="O270">
        <v>25577</v>
      </c>
      <c r="P270" t="s">
        <v>899</v>
      </c>
    </row>
    <row r="271" spans="1:16">
      <c r="A271" t="s">
        <v>285</v>
      </c>
      <c r="B271">
        <v>15</v>
      </c>
      <c r="C271">
        <v>15</v>
      </c>
      <c r="D271" t="s">
        <v>576</v>
      </c>
      <c r="E271" t="s">
        <v>601</v>
      </c>
      <c r="F271">
        <v>122020</v>
      </c>
      <c r="G271" t="s">
        <v>607</v>
      </c>
      <c r="H271">
        <f>F271-K271</f>
        <v>0</v>
      </c>
      <c r="I271" t="s">
        <v>874</v>
      </c>
      <c r="J271" t="s">
        <v>602</v>
      </c>
      <c r="K271">
        <v>86954</v>
      </c>
      <c r="L271" t="s">
        <v>899</v>
      </c>
      <c r="M271" t="s">
        <v>1167</v>
      </c>
      <c r="N271" t="s">
        <v>605</v>
      </c>
      <c r="O271">
        <v>17939</v>
      </c>
      <c r="P271" t="s">
        <v>899</v>
      </c>
    </row>
    <row r="272" spans="1:16">
      <c r="A272" t="s">
        <v>286</v>
      </c>
      <c r="B272">
        <v>16</v>
      </c>
      <c r="C272">
        <v>16</v>
      </c>
      <c r="D272" t="s">
        <v>577</v>
      </c>
      <c r="E272" t="s">
        <v>601</v>
      </c>
      <c r="F272">
        <v>111104</v>
      </c>
      <c r="G272" t="s">
        <v>607</v>
      </c>
      <c r="H272">
        <f>F272-K272</f>
        <v>0</v>
      </c>
      <c r="I272" t="s">
        <v>875</v>
      </c>
      <c r="J272" t="s">
        <v>602</v>
      </c>
      <c r="K272">
        <v>83494</v>
      </c>
      <c r="L272" t="s">
        <v>899</v>
      </c>
      <c r="M272" t="s">
        <v>1168</v>
      </c>
      <c r="N272" t="s">
        <v>606</v>
      </c>
      <c r="O272">
        <v>10700</v>
      </c>
      <c r="P272" t="s">
        <v>899</v>
      </c>
    </row>
    <row r="273" spans="1:16">
      <c r="A273" t="s">
        <v>287</v>
      </c>
      <c r="B273">
        <v>18</v>
      </c>
      <c r="C273">
        <v>18</v>
      </c>
      <c r="D273" t="s">
        <v>578</v>
      </c>
      <c r="E273" t="s">
        <v>601</v>
      </c>
      <c r="F273">
        <v>104020</v>
      </c>
      <c r="G273" t="s">
        <v>607</v>
      </c>
      <c r="H273">
        <f>F273-K273</f>
        <v>0</v>
      </c>
      <c r="I273" t="s">
        <v>876</v>
      </c>
      <c r="J273" t="s">
        <v>602</v>
      </c>
      <c r="K273">
        <v>91297</v>
      </c>
      <c r="L273" t="s">
        <v>899</v>
      </c>
      <c r="M273" t="s">
        <v>1169</v>
      </c>
      <c r="N273" t="s">
        <v>605</v>
      </c>
      <c r="O273">
        <v>12698</v>
      </c>
      <c r="P273" t="s">
        <v>899</v>
      </c>
    </row>
    <row r="274" spans="1:16">
      <c r="A274" t="s">
        <v>288</v>
      </c>
      <c r="B274">
        <v>16</v>
      </c>
      <c r="C274">
        <v>16</v>
      </c>
      <c r="D274" t="s">
        <v>579</v>
      </c>
      <c r="E274" t="s">
        <v>601</v>
      </c>
      <c r="F274">
        <v>107692</v>
      </c>
      <c r="G274" t="s">
        <v>607</v>
      </c>
      <c r="H274">
        <f>F274-K274</f>
        <v>0</v>
      </c>
      <c r="I274" t="s">
        <v>877</v>
      </c>
      <c r="J274" t="s">
        <v>602</v>
      </c>
      <c r="K274">
        <v>95157</v>
      </c>
      <c r="L274" t="s">
        <v>899</v>
      </c>
      <c r="M274" t="s">
        <v>1170</v>
      </c>
      <c r="N274" t="s">
        <v>605</v>
      </c>
      <c r="O274">
        <v>16478</v>
      </c>
      <c r="P274" t="s">
        <v>899</v>
      </c>
    </row>
    <row r="275" spans="1:16">
      <c r="A275" t="s">
        <v>289</v>
      </c>
      <c r="B275">
        <v>20</v>
      </c>
      <c r="C275">
        <v>20</v>
      </c>
      <c r="D275" t="s">
        <v>580</v>
      </c>
      <c r="E275" t="s">
        <v>601</v>
      </c>
      <c r="F275">
        <v>110640</v>
      </c>
      <c r="G275" t="s">
        <v>607</v>
      </c>
      <c r="H275">
        <f>F275-K275</f>
        <v>0</v>
      </c>
      <c r="I275" t="s">
        <v>878</v>
      </c>
      <c r="J275" t="s">
        <v>602</v>
      </c>
      <c r="K275">
        <v>100146</v>
      </c>
      <c r="L275" t="s">
        <v>899</v>
      </c>
      <c r="M275" t="s">
        <v>1171</v>
      </c>
      <c r="N275" t="s">
        <v>605</v>
      </c>
      <c r="O275">
        <v>13526</v>
      </c>
      <c r="P275" t="s">
        <v>899</v>
      </c>
    </row>
    <row r="276" spans="1:16">
      <c r="A276" t="s">
        <v>290</v>
      </c>
      <c r="B276">
        <v>13</v>
      </c>
      <c r="C276">
        <v>13</v>
      </c>
      <c r="D276" t="s">
        <v>581</v>
      </c>
      <c r="E276" t="s">
        <v>601</v>
      </c>
      <c r="F276">
        <v>80501</v>
      </c>
      <c r="G276" t="s">
        <v>607</v>
      </c>
      <c r="H276">
        <f>F276-K276</f>
        <v>0</v>
      </c>
      <c r="I276" t="s">
        <v>879</v>
      </c>
      <c r="J276" t="s">
        <v>602</v>
      </c>
      <c r="K276">
        <v>79103</v>
      </c>
      <c r="L276" t="s">
        <v>899</v>
      </c>
      <c r="M276" t="s">
        <v>1172</v>
      </c>
      <c r="N276" t="s">
        <v>605</v>
      </c>
      <c r="O276">
        <v>8048</v>
      </c>
      <c r="P276" t="s">
        <v>899</v>
      </c>
    </row>
    <row r="277" spans="1:16">
      <c r="A277" t="s">
        <v>291</v>
      </c>
      <c r="B277">
        <v>19</v>
      </c>
      <c r="C277">
        <v>19</v>
      </c>
      <c r="D277" t="s">
        <v>582</v>
      </c>
      <c r="E277" t="s">
        <v>601</v>
      </c>
      <c r="F277">
        <v>108888</v>
      </c>
      <c r="G277" t="s">
        <v>607</v>
      </c>
      <c r="H277">
        <f>F277-K277</f>
        <v>0</v>
      </c>
      <c r="I277" t="s">
        <v>880</v>
      </c>
      <c r="J277" t="s">
        <v>602</v>
      </c>
      <c r="K277">
        <v>77954</v>
      </c>
      <c r="L277" t="s">
        <v>899</v>
      </c>
      <c r="M277" t="s">
        <v>1173</v>
      </c>
      <c r="N277" t="s">
        <v>605</v>
      </c>
      <c r="O277">
        <v>18999</v>
      </c>
      <c r="P277" t="s">
        <v>899</v>
      </c>
    </row>
    <row r="278" spans="1:16">
      <c r="A278" t="s">
        <v>292</v>
      </c>
      <c r="B278">
        <v>21</v>
      </c>
      <c r="C278">
        <v>21</v>
      </c>
      <c r="D278" t="s">
        <v>583</v>
      </c>
      <c r="E278" t="s">
        <v>601</v>
      </c>
      <c r="F278">
        <v>114729</v>
      </c>
      <c r="G278" t="s">
        <v>607</v>
      </c>
      <c r="H278">
        <f>F278-K278</f>
        <v>0</v>
      </c>
      <c r="I278" t="s">
        <v>881</v>
      </c>
      <c r="J278" t="s">
        <v>602</v>
      </c>
      <c r="K278">
        <v>77131</v>
      </c>
      <c r="L278" t="s">
        <v>899</v>
      </c>
      <c r="M278" t="s">
        <v>1174</v>
      </c>
      <c r="N278" t="s">
        <v>605</v>
      </c>
      <c r="O278">
        <v>13986</v>
      </c>
      <c r="P278" t="s">
        <v>899</v>
      </c>
    </row>
    <row r="279" spans="1:16">
      <c r="A279" t="s">
        <v>293</v>
      </c>
      <c r="B279">
        <v>20</v>
      </c>
      <c r="C279">
        <v>20</v>
      </c>
      <c r="D279" t="s">
        <v>584</v>
      </c>
      <c r="E279" t="s">
        <v>601</v>
      </c>
      <c r="F279">
        <v>97416</v>
      </c>
      <c r="G279" t="s">
        <v>607</v>
      </c>
      <c r="H279">
        <f>F279-K279</f>
        <v>0</v>
      </c>
      <c r="I279" t="s">
        <v>882</v>
      </c>
      <c r="J279" t="s">
        <v>602</v>
      </c>
      <c r="K279">
        <v>79630</v>
      </c>
      <c r="L279" t="s">
        <v>899</v>
      </c>
      <c r="M279" t="s">
        <v>1175</v>
      </c>
      <c r="N279" t="s">
        <v>605</v>
      </c>
      <c r="O279">
        <v>13030</v>
      </c>
      <c r="P279" t="s">
        <v>899</v>
      </c>
    </row>
    <row r="280" spans="1:16">
      <c r="A280" t="s">
        <v>294</v>
      </c>
      <c r="B280">
        <v>15</v>
      </c>
      <c r="C280">
        <v>15</v>
      </c>
      <c r="D280" t="s">
        <v>585</v>
      </c>
      <c r="E280" t="s">
        <v>601</v>
      </c>
      <c r="F280">
        <v>90150</v>
      </c>
      <c r="G280" t="s">
        <v>607</v>
      </c>
      <c r="H280">
        <f>F280-K280</f>
        <v>0</v>
      </c>
      <c r="I280" t="s">
        <v>883</v>
      </c>
      <c r="J280" t="s">
        <v>602</v>
      </c>
      <c r="K280">
        <v>67636</v>
      </c>
      <c r="L280" t="s">
        <v>899</v>
      </c>
      <c r="M280" t="s">
        <v>1176</v>
      </c>
      <c r="N280" t="s">
        <v>605</v>
      </c>
      <c r="O280">
        <v>15195</v>
      </c>
      <c r="P280" t="s">
        <v>899</v>
      </c>
    </row>
    <row r="281" spans="1:16">
      <c r="A281" t="s">
        <v>295</v>
      </c>
      <c r="B281">
        <v>15</v>
      </c>
      <c r="C281">
        <v>15</v>
      </c>
      <c r="D281" t="s">
        <v>586</v>
      </c>
      <c r="E281" t="s">
        <v>601</v>
      </c>
      <c r="F281">
        <v>119582</v>
      </c>
      <c r="G281" t="s">
        <v>607</v>
      </c>
      <c r="H281">
        <f>F281-K281</f>
        <v>0</v>
      </c>
      <c r="I281" t="s">
        <v>884</v>
      </c>
      <c r="J281" t="s">
        <v>602</v>
      </c>
      <c r="K281">
        <v>78743</v>
      </c>
      <c r="L281" t="s">
        <v>899</v>
      </c>
      <c r="M281" t="s">
        <v>1177</v>
      </c>
      <c r="N281" t="s">
        <v>605</v>
      </c>
      <c r="O281">
        <v>10390</v>
      </c>
      <c r="P281" t="s">
        <v>899</v>
      </c>
    </row>
    <row r="282" spans="1:16">
      <c r="A282" t="s">
        <v>296</v>
      </c>
      <c r="B282">
        <v>15</v>
      </c>
      <c r="C282">
        <v>15</v>
      </c>
      <c r="D282" t="s">
        <v>587</v>
      </c>
      <c r="E282" t="s">
        <v>601</v>
      </c>
      <c r="F282">
        <v>104516</v>
      </c>
      <c r="G282" t="s">
        <v>607</v>
      </c>
      <c r="H282">
        <f>F282-K282</f>
        <v>0</v>
      </c>
      <c r="I282" t="s">
        <v>885</v>
      </c>
      <c r="J282" t="s">
        <v>602</v>
      </c>
      <c r="K282">
        <v>92901</v>
      </c>
      <c r="L282" t="s">
        <v>899</v>
      </c>
      <c r="M282" t="s">
        <v>1178</v>
      </c>
      <c r="N282" t="s">
        <v>1197</v>
      </c>
      <c r="O282">
        <v>4779</v>
      </c>
      <c r="P282" t="s">
        <v>899</v>
      </c>
    </row>
    <row r="283" spans="1:16">
      <c r="A283" t="s">
        <v>297</v>
      </c>
      <c r="B283">
        <v>16</v>
      </c>
      <c r="C283">
        <v>16</v>
      </c>
      <c r="D283" t="s">
        <v>588</v>
      </c>
      <c r="E283" t="s">
        <v>601</v>
      </c>
      <c r="F283">
        <v>103570</v>
      </c>
      <c r="G283" t="s">
        <v>607</v>
      </c>
      <c r="H283">
        <f>F283-K283</f>
        <v>0</v>
      </c>
      <c r="I283" t="s">
        <v>886</v>
      </c>
      <c r="J283" t="s">
        <v>602</v>
      </c>
      <c r="K283">
        <v>77072</v>
      </c>
      <c r="L283" t="s">
        <v>899</v>
      </c>
      <c r="M283" t="s">
        <v>1179</v>
      </c>
      <c r="N283" t="s">
        <v>1192</v>
      </c>
      <c r="O283">
        <v>3937</v>
      </c>
      <c r="P283" t="s">
        <v>899</v>
      </c>
    </row>
    <row r="284" spans="1:16">
      <c r="A284" t="s">
        <v>298</v>
      </c>
      <c r="B284">
        <v>12</v>
      </c>
      <c r="C284">
        <v>12</v>
      </c>
      <c r="D284" t="s">
        <v>589</v>
      </c>
      <c r="E284" t="s">
        <v>601</v>
      </c>
      <c r="F284">
        <v>91777</v>
      </c>
      <c r="G284" t="s">
        <v>607</v>
      </c>
      <c r="H284">
        <f>F284-K284</f>
        <v>0</v>
      </c>
      <c r="I284" t="s">
        <v>887</v>
      </c>
      <c r="J284" t="s">
        <v>602</v>
      </c>
      <c r="K284">
        <v>80055</v>
      </c>
      <c r="L284" t="s">
        <v>899</v>
      </c>
      <c r="M284" t="s">
        <v>1180</v>
      </c>
      <c r="N284" t="s">
        <v>606</v>
      </c>
      <c r="O284">
        <v>5576</v>
      </c>
      <c r="P284" t="s">
        <v>899</v>
      </c>
    </row>
    <row r="285" spans="1:16">
      <c r="A285" t="s">
        <v>299</v>
      </c>
      <c r="B285">
        <v>21</v>
      </c>
      <c r="C285">
        <v>21</v>
      </c>
      <c r="D285" t="s">
        <v>590</v>
      </c>
      <c r="E285" t="s">
        <v>601</v>
      </c>
      <c r="F285">
        <v>117437</v>
      </c>
      <c r="G285" t="s">
        <v>607</v>
      </c>
      <c r="H285">
        <f>F285-K285</f>
        <v>0</v>
      </c>
      <c r="I285" t="s">
        <v>888</v>
      </c>
      <c r="J285" t="s">
        <v>602</v>
      </c>
      <c r="K285">
        <v>89790</v>
      </c>
      <c r="L285" t="s">
        <v>899</v>
      </c>
      <c r="M285" t="s">
        <v>1181</v>
      </c>
      <c r="N285" t="s">
        <v>1192</v>
      </c>
      <c r="O285">
        <v>5028</v>
      </c>
      <c r="P285" t="s">
        <v>899</v>
      </c>
    </row>
    <row r="286" spans="1:16">
      <c r="A286" t="s">
        <v>300</v>
      </c>
      <c r="B286">
        <v>23</v>
      </c>
      <c r="C286">
        <v>21</v>
      </c>
      <c r="D286" t="s">
        <v>591</v>
      </c>
      <c r="E286" t="s">
        <v>601</v>
      </c>
      <c r="F286">
        <v>117754</v>
      </c>
      <c r="G286" t="s">
        <v>608</v>
      </c>
      <c r="H286">
        <f>F286-K286</f>
        <v>0</v>
      </c>
      <c r="I286" t="s">
        <v>889</v>
      </c>
      <c r="J286" t="s">
        <v>602</v>
      </c>
      <c r="K286">
        <v>83964</v>
      </c>
      <c r="L286" t="s">
        <v>900</v>
      </c>
      <c r="M286" t="s">
        <v>1182</v>
      </c>
      <c r="N286" t="s">
        <v>605</v>
      </c>
      <c r="O286">
        <v>7152</v>
      </c>
      <c r="P286" t="s">
        <v>900</v>
      </c>
    </row>
    <row r="287" spans="1:16">
      <c r="A287" t="s">
        <v>301</v>
      </c>
      <c r="B287">
        <v>23</v>
      </c>
      <c r="C287">
        <v>21</v>
      </c>
      <c r="D287" t="s">
        <v>592</v>
      </c>
      <c r="E287" t="s">
        <v>602</v>
      </c>
      <c r="F287">
        <v>109333</v>
      </c>
      <c r="G287" t="s">
        <v>608</v>
      </c>
      <c r="H287">
        <f>F287-K287</f>
        <v>0</v>
      </c>
      <c r="I287" t="s">
        <v>530</v>
      </c>
      <c r="J287" t="s">
        <v>601</v>
      </c>
      <c r="K287">
        <v>95979</v>
      </c>
      <c r="L287" t="s">
        <v>900</v>
      </c>
      <c r="M287" t="s">
        <v>1183</v>
      </c>
      <c r="N287" t="s">
        <v>606</v>
      </c>
      <c r="O287">
        <v>17526</v>
      </c>
      <c r="P287" t="s">
        <v>900</v>
      </c>
    </row>
    <row r="288" spans="1:16">
      <c r="A288" t="s">
        <v>302</v>
      </c>
      <c r="B288">
        <v>24</v>
      </c>
      <c r="C288">
        <v>19</v>
      </c>
      <c r="D288" t="s">
        <v>593</v>
      </c>
      <c r="E288" t="s">
        <v>601</v>
      </c>
      <c r="F288">
        <v>96177</v>
      </c>
      <c r="G288" t="s">
        <v>608</v>
      </c>
      <c r="H288">
        <f>F288-K288</f>
        <v>0</v>
      </c>
      <c r="I288" t="s">
        <v>890</v>
      </c>
      <c r="J288" t="s">
        <v>602</v>
      </c>
      <c r="K288">
        <v>89529</v>
      </c>
      <c r="L288" t="s">
        <v>900</v>
      </c>
      <c r="M288" t="s">
        <v>1184</v>
      </c>
      <c r="N288" t="s">
        <v>605</v>
      </c>
      <c r="O288">
        <v>7278</v>
      </c>
      <c r="P288" t="s">
        <v>900</v>
      </c>
    </row>
    <row r="289" spans="1:16">
      <c r="A289" t="s">
        <v>303</v>
      </c>
      <c r="B289">
        <v>20</v>
      </c>
      <c r="C289">
        <v>20</v>
      </c>
      <c r="D289" t="s">
        <v>594</v>
      </c>
      <c r="E289" t="s">
        <v>601</v>
      </c>
      <c r="F289">
        <v>105830</v>
      </c>
      <c r="G289" t="s">
        <v>607</v>
      </c>
      <c r="H289">
        <f>F289-K289</f>
        <v>0</v>
      </c>
      <c r="I289" t="s">
        <v>891</v>
      </c>
      <c r="J289" t="s">
        <v>602</v>
      </c>
      <c r="K289">
        <v>102647</v>
      </c>
      <c r="L289" t="s">
        <v>899</v>
      </c>
      <c r="M289" t="s">
        <v>1185</v>
      </c>
      <c r="N289" t="s">
        <v>605</v>
      </c>
      <c r="O289">
        <v>6152</v>
      </c>
      <c r="P289" t="s">
        <v>899</v>
      </c>
    </row>
    <row r="290" spans="1:16">
      <c r="A290" t="s">
        <v>304</v>
      </c>
      <c r="B290">
        <v>25</v>
      </c>
      <c r="C290">
        <v>25</v>
      </c>
      <c r="D290" t="s">
        <v>595</v>
      </c>
      <c r="E290" t="s">
        <v>601</v>
      </c>
      <c r="F290">
        <v>115054</v>
      </c>
      <c r="G290" t="s">
        <v>607</v>
      </c>
      <c r="H290">
        <f>F290-K290</f>
        <v>0</v>
      </c>
      <c r="I290" t="s">
        <v>892</v>
      </c>
      <c r="J290" t="s">
        <v>602</v>
      </c>
      <c r="K290">
        <v>104748</v>
      </c>
      <c r="L290" t="s">
        <v>899</v>
      </c>
      <c r="M290" t="s">
        <v>1186</v>
      </c>
      <c r="N290" t="s">
        <v>605</v>
      </c>
      <c r="O290">
        <v>9478</v>
      </c>
      <c r="P290" t="s">
        <v>899</v>
      </c>
    </row>
    <row r="291" spans="1:16">
      <c r="A291" t="s">
        <v>305</v>
      </c>
      <c r="B291">
        <v>20</v>
      </c>
      <c r="C291">
        <v>20</v>
      </c>
      <c r="D291" t="s">
        <v>596</v>
      </c>
      <c r="E291" t="s">
        <v>601</v>
      </c>
      <c r="F291">
        <v>107056</v>
      </c>
      <c r="G291" t="s">
        <v>607</v>
      </c>
      <c r="H291">
        <f>F291-K291</f>
        <v>0</v>
      </c>
      <c r="I291" t="s">
        <v>893</v>
      </c>
      <c r="J291" t="s">
        <v>602</v>
      </c>
      <c r="K291">
        <v>86054</v>
      </c>
      <c r="L291" t="s">
        <v>899</v>
      </c>
      <c r="M291" t="s">
        <v>1187</v>
      </c>
      <c r="N291" t="s">
        <v>605</v>
      </c>
      <c r="O291">
        <v>9571</v>
      </c>
      <c r="P291" t="s">
        <v>899</v>
      </c>
    </row>
    <row r="292" spans="1:16">
      <c r="A292" t="s">
        <v>306</v>
      </c>
      <c r="B292">
        <v>23</v>
      </c>
      <c r="C292">
        <v>22</v>
      </c>
      <c r="D292" t="s">
        <v>597</v>
      </c>
      <c r="E292" t="s">
        <v>601</v>
      </c>
      <c r="F292">
        <v>111249</v>
      </c>
      <c r="G292" t="s">
        <v>608</v>
      </c>
      <c r="H292">
        <f>F292-K292</f>
        <v>0</v>
      </c>
      <c r="I292" t="s">
        <v>894</v>
      </c>
      <c r="J292" t="s">
        <v>602</v>
      </c>
      <c r="K292">
        <v>87335</v>
      </c>
      <c r="L292" t="s">
        <v>900</v>
      </c>
      <c r="M292" t="s">
        <v>1188</v>
      </c>
      <c r="N292" t="s">
        <v>605</v>
      </c>
      <c r="O292">
        <v>22918</v>
      </c>
      <c r="P292" t="s">
        <v>900</v>
      </c>
    </row>
    <row r="293" spans="1:16">
      <c r="A293" t="s">
        <v>307</v>
      </c>
      <c r="B293">
        <v>21</v>
      </c>
      <c r="C293">
        <v>15</v>
      </c>
      <c r="D293" t="s">
        <v>598</v>
      </c>
      <c r="E293" t="s">
        <v>602</v>
      </c>
      <c r="F293">
        <v>81389</v>
      </c>
      <c r="G293" t="s">
        <v>608</v>
      </c>
      <c r="H293">
        <f>F293-K293</f>
        <v>0</v>
      </c>
      <c r="I293" t="s">
        <v>895</v>
      </c>
      <c r="J293" t="s">
        <v>601</v>
      </c>
      <c r="K293">
        <v>43919</v>
      </c>
      <c r="L293" t="s">
        <v>900</v>
      </c>
      <c r="M293" t="s">
        <v>1189</v>
      </c>
      <c r="N293" t="s">
        <v>605</v>
      </c>
      <c r="O293">
        <v>19309</v>
      </c>
      <c r="P293" t="s">
        <v>900</v>
      </c>
    </row>
    <row r="294" spans="1:16">
      <c r="A294" t="s">
        <v>308</v>
      </c>
      <c r="B294">
        <v>20</v>
      </c>
      <c r="C294">
        <v>15</v>
      </c>
      <c r="D294" t="s">
        <v>599</v>
      </c>
      <c r="E294" t="s">
        <v>602</v>
      </c>
      <c r="F294">
        <v>65787</v>
      </c>
      <c r="G294" t="s">
        <v>608</v>
      </c>
      <c r="H294">
        <f>F294-K294</f>
        <v>0</v>
      </c>
      <c r="I294" t="s">
        <v>896</v>
      </c>
      <c r="J294" t="s">
        <v>601</v>
      </c>
      <c r="K294">
        <v>59048</v>
      </c>
      <c r="L294" t="s">
        <v>900</v>
      </c>
      <c r="M294" t="s">
        <v>1190</v>
      </c>
      <c r="N294" t="s">
        <v>603</v>
      </c>
      <c r="O294">
        <v>29045</v>
      </c>
      <c r="P294" t="s">
        <v>900</v>
      </c>
    </row>
    <row r="295" spans="1:16">
      <c r="A295" t="s">
        <v>309</v>
      </c>
      <c r="B295">
        <v>22</v>
      </c>
      <c r="C295">
        <v>22</v>
      </c>
      <c r="D295" t="s">
        <v>600</v>
      </c>
      <c r="E295" t="s">
        <v>602</v>
      </c>
      <c r="F295">
        <v>96902</v>
      </c>
      <c r="G295" t="s">
        <v>607</v>
      </c>
      <c r="H295">
        <f>F295-K295</f>
        <v>0</v>
      </c>
      <c r="I295" t="s">
        <v>897</v>
      </c>
      <c r="J295" t="s">
        <v>603</v>
      </c>
      <c r="K295">
        <v>59197</v>
      </c>
      <c r="L295" t="s">
        <v>899</v>
      </c>
      <c r="M295" t="s">
        <v>1191</v>
      </c>
      <c r="N295" t="s">
        <v>601</v>
      </c>
      <c r="O295">
        <v>58664</v>
      </c>
      <c r="P295" t="s">
        <v>899</v>
      </c>
    </row>
  </sheetData>
  <conditionalFormatting sqref="E2:E295">
    <cfRule type="containsText" dxfId="3" priority="14" operator="containsText" text="Bharatiya Janata Party">
      <formula>NOT(ISERROR(SEARCH("Bharatiya Janata Party",E2)))</formula>
    </cfRule>
    <cfRule type="containsText" dxfId="4" priority="15" operator="containsText" text="All India Trinamool Congress">
      <formula>NOT(ISERROR(SEARCH("All India Trinamool Congress",E2)))</formula>
    </cfRule>
  </conditionalFormatting>
  <conditionalFormatting sqref="G2:G295">
    <cfRule type="containsText" dxfId="0" priority="2" operator="containsText" text="Won">
      <formula>NOT(ISERROR(SEARCH("Won",G2)))</formula>
    </cfRule>
    <cfRule type="containsText" dxfId="1" priority="3" operator="containsText" text="Leading">
      <formula>NOT(ISERROR(SEARCH("Leading",G2)))</formula>
    </cfRule>
    <cfRule type="containsText" dxfId="2" priority="4" operator="containsText" text="Lost">
      <formula>NOT(ISERROR(SEARCH("Lost",G2)))</formula>
    </cfRule>
    <cfRule type="containsText" dxfId="2" priority="5" operator="containsText" text="Trailing">
      <formula>NOT(ISERROR(SEARCH("Trailing",G2)))</formula>
    </cfRule>
  </conditionalFormatting>
  <conditionalFormatting sqref="H2:H295">
    <cfRule type="dataBar" priority="1">
      <dataBar>
        <cfvo type="min" val="0"/>
        <cfvo type="max" val="0"/>
        <color rgb="FF63C384"/>
      </dataBar>
    </cfRule>
  </conditionalFormatting>
  <conditionalFormatting sqref="L2:L295">
    <cfRule type="containsText" dxfId="0" priority="6" operator="containsText" text="Won">
      <formula>NOT(ISERROR(SEARCH("Won",L2)))</formula>
    </cfRule>
    <cfRule type="containsText" dxfId="1" priority="7" operator="containsText" text="Leading">
      <formula>NOT(ISERROR(SEARCH("Leading",L2)))</formula>
    </cfRule>
    <cfRule type="containsText" dxfId="2" priority="8" operator="containsText" text="Lost">
      <formula>NOT(ISERROR(SEARCH("Lost",L2)))</formula>
    </cfRule>
    <cfRule type="containsText" dxfId="2" priority="9" operator="containsText" text="Trailing">
      <formula>NOT(ISERROR(SEARCH("Trailing",L2)))</formula>
    </cfRule>
  </conditionalFormatting>
  <conditionalFormatting sqref="P2:P295">
    <cfRule type="containsText" dxfId="0" priority="10" operator="containsText" text="Won">
      <formula>NOT(ISERROR(SEARCH("Won",P2)))</formula>
    </cfRule>
    <cfRule type="containsText" dxfId="1" priority="11" operator="containsText" text="Leading">
      <formula>NOT(ISERROR(SEARCH("Leading",P2)))</formula>
    </cfRule>
    <cfRule type="containsText" dxfId="2" priority="12" operator="containsText" text="Lost">
      <formula>NOT(ISERROR(SEARCH("Lost",P2)))</formula>
    </cfRule>
    <cfRule type="containsText" dxfId="2" priority="13" operator="containsText" text="Trailing">
      <formula>NOT(ISERROR(SEARCH("Trailing",P2)))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40.7109375" customWidth="1"/>
    <col min="2" max="4" width="15.7109375" customWidth="1"/>
  </cols>
  <sheetData>
    <row r="1" spans="1:4">
      <c r="A1" s="6" t="s">
        <v>1198</v>
      </c>
      <c r="B1" s="6"/>
      <c r="C1" s="6"/>
      <c r="D1" s="6"/>
    </row>
    <row r="3" spans="1:4">
      <c r="A3" s="2" t="s">
        <v>1199</v>
      </c>
      <c r="B3" s="2" t="s">
        <v>608</v>
      </c>
      <c r="C3" s="2" t="s">
        <v>607</v>
      </c>
      <c r="D3" s="2" t="s">
        <v>1200</v>
      </c>
    </row>
    <row r="4" spans="1:4">
      <c r="A4" s="7" t="s">
        <v>601</v>
      </c>
      <c r="B4" s="8">
        <f>COUNTIFS('Election Results'!E:E, "Bharatiya Janata Party", 'Election Results'!G:G, "Leading")</f>
        <v>0</v>
      </c>
      <c r="C4" s="8">
        <f>COUNTIFS('Election Results'!E:E, "Bharatiya Janata Party", 'Election Results'!G:G, "Won")</f>
        <v>0</v>
      </c>
      <c r="D4" s="9">
        <f>B4+C4</f>
        <v>0</v>
      </c>
    </row>
    <row r="5" spans="1:4">
      <c r="A5" s="7" t="s">
        <v>602</v>
      </c>
      <c r="B5" s="8">
        <f>COUNTIFS('Election Results'!E:E, "All India Trinamool Congress", 'Election Results'!G:G, "Leading")</f>
        <v>0</v>
      </c>
      <c r="C5" s="8">
        <f>COUNTIFS('Election Results'!E:E, "All India Trinamool Congress", 'Election Results'!G:G, "Won")</f>
        <v>0</v>
      </c>
      <c r="D5" s="9">
        <f>B5+C5</f>
        <v>0</v>
      </c>
    </row>
    <row r="6" spans="1:4">
      <c r="A6" s="7" t="s">
        <v>603</v>
      </c>
      <c r="B6" s="8">
        <f>COUNTIFS('Election Results'!E:E, "Indian National Congress", 'Election Results'!G:G, "Leading")</f>
        <v>0</v>
      </c>
      <c r="C6" s="8">
        <f>COUNTIFS('Election Results'!E:E, "Indian National Congress", 'Election Results'!G:G, "Won")</f>
        <v>0</v>
      </c>
      <c r="D6" s="9">
        <f>B6+C6</f>
        <v>0</v>
      </c>
    </row>
    <row r="7" spans="1:4">
      <c r="A7" s="7" t="s">
        <v>604</v>
      </c>
      <c r="B7" s="8">
        <f>COUNTIFS('Election Results'!E:E, "Aam Janata Unnayan party", 'Election Results'!G:G, "Leading")</f>
        <v>0</v>
      </c>
      <c r="C7" s="8">
        <f>COUNTIFS('Election Results'!E:E, "Aam Janata Unnayan party", 'Election Results'!G:G, "Won")</f>
        <v>0</v>
      </c>
      <c r="D7" s="9">
        <f>B7+C7</f>
        <v>0</v>
      </c>
    </row>
    <row r="8" spans="1:4">
      <c r="A8" s="7" t="s">
        <v>605</v>
      </c>
      <c r="B8" s="8">
        <f>COUNTIFS('Election Results'!E:E, "Communist Party of India (Marxist)", 'Election Results'!G:G, "Leading")</f>
        <v>0</v>
      </c>
      <c r="C8" s="8">
        <f>COUNTIFS('Election Results'!E:E, "Communist Party of India (Marxist)", 'Election Results'!G:G, "Won")</f>
        <v>0</v>
      </c>
      <c r="D8" s="9">
        <f>B8+C8</f>
        <v>0</v>
      </c>
    </row>
    <row r="9" spans="1:4">
      <c r="A9" s="7" t="s">
        <v>606</v>
      </c>
      <c r="B9" s="8">
        <f>COUNTIFS('Election Results'!E:E, "All India Secular Front", 'Election Results'!G:G, "Leading")</f>
        <v>0</v>
      </c>
      <c r="C9" s="8">
        <f>COUNTIFS('Election Results'!E:E, "All India Secular Front", 'Election Results'!G:G, "Won")</f>
        <v>0</v>
      </c>
      <c r="D9" s="9">
        <f>B9+C9</f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Election Results</vt:lpstr>
      <vt:lpstr>Summary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2026-05-04T15:39:22Z</dcterms:created>
  <dcterms:modified xsi:type="dcterms:W3CDTF">2026-05-04T15:39:22Z</dcterms:modified>
</cp:coreProperties>
</file>